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Tarefas" sheetId="2" state="visible" r:id="rId2"/>
    <sheet name="Fases" sheetId="3" state="visible" r:id="rId3"/>
    <sheet name="Escopo" sheetId="4" state="visible" r:id="rId4"/>
    <sheet name="Métricas" sheetId="5" state="visible" r:id="rId5"/>
    <sheet name="Riscos" sheetId="6" state="visible" r:id="rId6"/>
    <sheet name="Carga semanal" sheetId="7" state="visible" r:id="rId7"/>
    <sheet name="V · Vence em 7 dias" sheetId="8" state="visible" r:id="rId8"/>
    <sheet name="V · Bloqueios" sheetId="9" state="visible" r:id="rId9"/>
    <sheet name="V · Luana" sheetId="10" state="visible" r:id="rId10"/>
    <sheet name="V · Luiza" sheetId="11" state="visible" r:id="rId11"/>
    <sheet name="Para o Painel" sheetId="12" state="visible" r:id="rId12"/>
  </sheets>
  <definedNames>
    <definedName name="_xlnm._FilterDatabase" localSheetId="1" hidden="1">'Tarefas'!$A$1:$L$59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1B2A41"/>
      <sz val="14"/>
    </font>
    <font>
      <b val="1"/>
      <color rgb="000E6B3F"/>
    </font>
    <font>
      <b val="1"/>
      <color rgb="00B3261E"/>
    </font>
    <font>
      <b val="1"/>
      <color rgb="001B2A41"/>
      <sz val="12"/>
    </font>
    <font>
      <i val="1"/>
      <color rgb="0055607A"/>
      <sz val="10"/>
    </font>
    <font>
      <b val="1"/>
      <color rgb="001B2A41"/>
      <sz val="16"/>
    </font>
    <font>
      <i val="1"/>
      <color rgb="0055607A"/>
      <sz val="11"/>
    </font>
    <font>
      <sz val="11"/>
    </font>
    <font>
      <b val="1"/>
      <color rgb="002B4C8C"/>
      <sz val="12"/>
    </font>
  </fonts>
  <fills count="3">
    <fill>
      <patternFill/>
    </fill>
    <fill>
      <patternFill patternType="gray125"/>
    </fill>
    <fill>
      <patternFill patternType="solid">
        <fgColor rgb="002B4C8C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8EBF0"/>
        </patternFill>
      </fill>
    </dxf>
    <dxf>
      <fill>
        <patternFill patternType="solid">
          <fgColor rgb="00D6E4FF"/>
        </patternFill>
      </fill>
    </dxf>
    <dxf>
      <fill>
        <patternFill patternType="solid">
          <fgColor rgb="00FFD9D6"/>
        </patternFill>
      </fill>
    </dxf>
    <dxf>
      <fill>
        <patternFill patternType="solid">
          <fgColor rgb="00FFF0C9"/>
        </patternFill>
      </fill>
    </dxf>
    <dxf>
      <fill>
        <patternFill patternType="solid">
          <fgColor rgb="00D5F0DE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Tracker · Modelo de Terceirização da Operação</t>
        </is>
      </c>
    </row>
    <row r="2">
      <c r="A2" s="2" t="inlineStr">
        <is>
          <t>Fonte única de verdade do projeto. Gerado em 26/ago/2026 a partir da reunião Escalabilidade time.</t>
        </is>
      </c>
    </row>
    <row r="3" ht="30" customHeight="1">
      <c r="A3" s="3" t="inlineStr"/>
    </row>
    <row r="4">
      <c r="A4" s="4" t="inlineStr">
        <is>
          <t>A regra que faz isso funcionar</t>
        </is>
      </c>
    </row>
    <row r="5" ht="30" customHeight="1">
      <c r="A5" s="3" t="inlineStr">
        <is>
          <t>A aba Tarefas manda. Toda tarefa mexida no dia é atualizada antes de você sair — não na reunião, no dia.</t>
        </is>
      </c>
    </row>
    <row r="6" ht="30" customHeight="1">
      <c r="A6" s="3" t="inlineStr">
        <is>
          <t>Bloqueio se registra na hora, com motivo escrito na coluna Bloqueio. Bloqueio sem motivo escrito não conta como bloqueio.</t>
        </is>
      </c>
    </row>
    <row r="7" ht="30" customHeight="1">
      <c r="A7" s="3" t="inlineStr">
        <is>
          <t>Bloqueio parado há mais de 3 dias úteis sobe para o Lucas, com a decisão pedida por escrito.</t>
        </is>
      </c>
    </row>
    <row r="8" ht="30" customHeight="1">
      <c r="A8" s="3" t="inlineStr">
        <is>
          <t>O Painel de Demandas (localhost:4321) fica com as tarefas da quinzena, para dar baixa no dia a dia. Quando o painel e o tracker divergirem, o tracker vence.</t>
        </is>
      </c>
    </row>
    <row r="9" ht="30" customHeight="1">
      <c r="A9" s="3" t="inlineStr"/>
    </row>
    <row r="10">
      <c r="A10" s="4" t="inlineStr">
        <is>
          <t>Status possíveis</t>
        </is>
      </c>
    </row>
    <row r="11" ht="30" customHeight="1">
      <c r="A11" s="3" t="inlineStr">
        <is>
          <t>Não iniciado · Em andamento · Bloqueado · Em revisão · Concluído. A coluna já vem com lista fechada — não invente status novo.</t>
        </is>
      </c>
    </row>
    <row r="12" ht="30" customHeight="1">
      <c r="A12" s="3" t="inlineStr">
        <is>
          <t>Em revisão significa: o trabalho acabou e está com outra pessoa ou outra área. Continua sendo seu até voltar.</t>
        </is>
      </c>
    </row>
    <row r="13" ht="30" customHeight="1">
      <c r="A13" s="3" t="inlineStr"/>
    </row>
    <row r="14">
      <c r="A14" s="4" t="inlineStr">
        <is>
          <t>Prioridade</t>
        </is>
      </c>
    </row>
    <row r="15" ht="30" customHeight="1">
      <c r="A15" s="3" t="inlineStr">
        <is>
          <t>P0 — sem ela o projeto não existe. P1 — importante, mas o projeto sobrevive. P2 — melhora o resultado.</t>
        </is>
      </c>
    </row>
    <row r="16" ht="30" customHeight="1">
      <c r="A16" s="3" t="inlineStr">
        <is>
          <t>Quando a semana apertar, corta P2, depois P1. P0 nunca escorrega em silêncio: escorregou, avisa no touchpoint.</t>
        </is>
      </c>
    </row>
    <row r="17" ht="30" customHeight="1">
      <c r="A17" s="3" t="inlineStr"/>
    </row>
    <row r="18">
      <c r="A18" s="4" t="inlineStr">
        <is>
          <t>As quatro views</t>
        </is>
      </c>
    </row>
    <row r="19" ht="30" customHeight="1">
      <c r="A19" s="3" t="inlineStr">
        <is>
          <t>Vence em 7 dias · Bloqueios · Luana · Luiza. São fórmulas, atualizam sozinhas. Não edite nada dentro delas — edite na aba Tarefas.</t>
        </is>
      </c>
    </row>
    <row r="20" ht="30" customHeight="1">
      <c r="A20" s="3" t="inlineStr">
        <is>
          <t>Para ver por fase, use o filtro da coluna Fase na própria aba Tarefas.</t>
        </is>
      </c>
    </row>
    <row r="21" ht="30" customHeight="1">
      <c r="A21" s="3" t="inlineStr"/>
    </row>
    <row r="22">
      <c r="A22" s="4" t="inlineStr">
        <is>
          <t>O que é humano e o que dá para automatizar</t>
        </is>
      </c>
    </row>
    <row r="23" ht="30" customHeight="1">
      <c r="A23" s="3" t="inlineStr">
        <is>
          <t>Humano: status, motivo do bloqueio, data de última atualização, valor atual das métricas.</t>
        </is>
      </c>
    </row>
    <row r="24" ht="30" customHeight="1">
      <c r="A24" s="3" t="inlineStr">
        <is>
          <t>Automático: as views, as linhas da aba Para o Painel, o realce de data vencida e o resumo de segunda-feira.</t>
        </is>
      </c>
    </row>
    <row r="25" ht="30" customHeight="1">
      <c r="A25" s="3" t="inlineStr"/>
    </row>
    <row r="26">
      <c r="A26" s="4" t="inlineStr">
        <is>
          <t>Resumo de segunda, 9h</t>
        </is>
      </c>
    </row>
    <row r="27" ht="30" customHeight="1">
      <c r="A27" s="3" t="inlineStr">
        <is>
          <t>O resumo lê este arquivo e manda no canal do projeto: o que andou na semana, o que travou e há quantos dias, o que vence nos próximos 7 dias e o que precisa de decisão do Lucas.</t>
        </is>
      </c>
    </row>
    <row r="28" ht="30" customHeight="1">
      <c r="A28" s="3" t="inlineStr">
        <is>
          <t>Se ninguém atualizar o tracker, o resumo chega vazio — e isso também é informação.</t>
        </is>
      </c>
    </row>
    <row r="29" ht="30" customHeight="1">
      <c r="A29" s="3" t="inlineStr"/>
    </row>
    <row r="30">
      <c r="A30" s="4" t="inlineStr">
        <is>
          <t>Cadência</t>
        </is>
      </c>
    </row>
    <row r="31" ht="30" customHeight="1">
      <c r="A31" s="3" t="inlineStr">
        <is>
          <t>Touchpoint terça e quinta, 30 min, só este assunto. Bloco protegido sexta de manhã, 2h. Status quinzenal com o Lucas, 15 min. Comitê de áreas mensal, 1h.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9" customWidth="1" min="4" max="4"/>
    <col width="11" customWidth="1" min="5" max="5"/>
    <col width="12" customWidth="1" min="6" max="6"/>
    <col width="12" customWidth="1" min="7" max="7"/>
    <col width="16" customWidth="1" min="8" max="8"/>
    <col width="15" customWidth="1" min="9" max="9"/>
    <col width="34" customWidth="1" min="10" max="10"/>
    <col width="17" customWidth="1" min="11" max="11"/>
    <col width="22" customWidth="1" min="12" max="12"/>
  </cols>
  <sheetData>
    <row r="1" ht="30" customHeight="1">
      <c r="A1" s="5" t="inlineStr">
        <is>
          <t>ID</t>
        </is>
      </c>
      <c r="B1" s="5" t="inlineStr">
        <is>
          <t>Fase</t>
        </is>
      </c>
      <c r="C1" s="5" t="inlineStr">
        <is>
          <t>Tarefa</t>
        </is>
      </c>
      <c r="D1" s="5" t="inlineStr">
        <is>
          <t>Dono</t>
        </is>
      </c>
      <c r="E1" s="5" t="inlineStr">
        <is>
          <t>Prioridade</t>
        </is>
      </c>
      <c r="F1" s="5" t="inlineStr">
        <is>
          <t>Esforço (h)</t>
        </is>
      </c>
      <c r="G1" s="5" t="inlineStr">
        <is>
          <t>Data alvo</t>
        </is>
      </c>
      <c r="H1" s="5" t="inlineStr">
        <is>
          <t>Dependência</t>
        </is>
      </c>
      <c r="I1" s="5" t="inlineStr">
        <is>
          <t>Status</t>
        </is>
      </c>
      <c r="J1" s="5" t="inlineStr">
        <is>
          <t>Bloqueio — motivo</t>
        </is>
      </c>
      <c r="K1" s="5" t="inlineStr">
        <is>
          <t>Última atualização</t>
        </is>
      </c>
      <c r="L1" s="5" t="inlineStr">
        <is>
          <t>Áreas envolvidas</t>
        </is>
      </c>
    </row>
    <row r="2">
      <c r="A2" s="6" t="inlineStr">
        <is>
          <t>T1.1</t>
        </is>
      </c>
      <c r="B2" s="6" t="inlineStr">
        <is>
          <t>F1</t>
        </is>
      </c>
      <c r="C2" s="7" t="inlineStr">
        <is>
          <t>Escrever o one-pager de escopo: objetivo, dentro, fora e definição de pronto</t>
        </is>
      </c>
      <c r="D2" s="6" t="inlineStr">
        <is>
          <t>Luana</t>
        </is>
      </c>
      <c r="E2" s="6" t="inlineStr">
        <is>
          <t>P0</t>
        </is>
      </c>
      <c r="F2" s="6" t="n">
        <v>3</v>
      </c>
      <c r="G2" s="8" t="n">
        <v>46262</v>
      </c>
      <c r="H2" s="6" t="inlineStr">
        <is>
          <t>—</t>
        </is>
      </c>
      <c r="I2" s="6" t="inlineStr">
        <is>
          <t>Não iniciado</t>
        </is>
      </c>
      <c r="J2" s="7" t="inlineStr"/>
      <c r="K2" s="8" t="inlineStr"/>
      <c r="L2" s="7" t="inlineStr">
        <is>
          <t>—</t>
        </is>
      </c>
    </row>
    <row r="3">
      <c r="A3" s="6" t="inlineStr">
        <is>
          <t>T1.2</t>
        </is>
      </c>
      <c r="B3" s="6" t="inlineStr">
        <is>
          <t>F1</t>
        </is>
      </c>
      <c r="C3" s="7" t="inlineStr">
        <is>
          <t>Fechar as 4 métricas de sucesso com baseline atual e meta</t>
        </is>
      </c>
      <c r="D3" s="6" t="inlineStr">
        <is>
          <t>Luana</t>
        </is>
      </c>
      <c r="E3" s="6" t="inlineStr">
        <is>
          <t>P0</t>
        </is>
      </c>
      <c r="F3" s="6" t="n">
        <v>3</v>
      </c>
      <c r="G3" s="8" t="n">
        <v>46269</v>
      </c>
      <c r="H3" s="6" t="inlineStr">
        <is>
          <t>T1.1</t>
        </is>
      </c>
      <c r="I3" s="6" t="inlineStr">
        <is>
          <t>Não iniciado</t>
        </is>
      </c>
      <c r="J3" s="7" t="inlineStr"/>
      <c r="K3" s="8" t="inlineStr"/>
      <c r="L3" s="7" t="inlineStr">
        <is>
          <t>Dados</t>
        </is>
      </c>
    </row>
    <row r="4">
      <c r="A4" s="6" t="inlineStr">
        <is>
          <t>T1.3</t>
        </is>
      </c>
      <c r="B4" s="6" t="inlineStr">
        <is>
          <t>F1</t>
        </is>
      </c>
      <c r="C4" s="7" t="inlineStr">
        <is>
          <t>Régua de segmentação do long tail: critério objetivo de qual varejo entra</t>
        </is>
      </c>
      <c r="D4" s="6" t="inlineStr">
        <is>
          <t>Luiza</t>
        </is>
      </c>
      <c r="E4" s="6" t="inlineStr">
        <is>
          <t>P0</t>
        </is>
      </c>
      <c r="F4" s="6" t="n">
        <v>4</v>
      </c>
      <c r="G4" s="8" t="n">
        <v>46262</v>
      </c>
      <c r="H4" s="6" t="inlineStr">
        <is>
          <t>—</t>
        </is>
      </c>
      <c r="I4" s="6" t="inlineStr">
        <is>
          <t>Não iniciado</t>
        </is>
      </c>
      <c r="J4" s="7" t="inlineStr"/>
      <c r="K4" s="8" t="inlineStr"/>
      <c r="L4" s="7" t="inlineStr">
        <is>
          <t>Comercial, Dados</t>
        </is>
      </c>
    </row>
    <row r="5">
      <c r="A5" s="6" t="inlineStr">
        <is>
          <t>T1.4</t>
        </is>
      </c>
      <c r="B5" s="6" t="inlineStr">
        <is>
          <t>F1</t>
        </is>
      </c>
      <c r="C5" s="7" t="inlineStr">
        <is>
          <t>Assumir o tracker: revisar tarefas, esforços e datas e travar as quatro views</t>
        </is>
      </c>
      <c r="D5" s="6" t="inlineStr">
        <is>
          <t>Luana</t>
        </is>
      </c>
      <c r="E5" s="6" t="inlineStr">
        <is>
          <t>P0</t>
        </is>
      </c>
      <c r="F5" s="6" t="n">
        <v>2</v>
      </c>
      <c r="G5" s="8" t="n">
        <v>46269</v>
      </c>
      <c r="H5" s="6" t="inlineStr">
        <is>
          <t>—</t>
        </is>
      </c>
      <c r="I5" s="6" t="inlineStr">
        <is>
          <t>Não iniciado</t>
        </is>
      </c>
      <c r="J5" s="7" t="inlineStr"/>
      <c r="K5" s="8" t="inlineStr"/>
      <c r="L5" s="7" t="inlineStr">
        <is>
          <t>—</t>
        </is>
      </c>
    </row>
    <row r="6">
      <c r="A6" s="6" t="inlineStr">
        <is>
          <t>T1.5</t>
        </is>
      </c>
      <c r="B6" s="6" t="inlineStr">
        <is>
          <t>F1</t>
        </is>
      </c>
      <c r="C6" s="7" t="inlineStr">
        <is>
          <t>Importar as tarefas da quinzena no Painel de Demandas e travar o ritual de baixa</t>
        </is>
      </c>
      <c r="D6" s="6" t="inlineStr">
        <is>
          <t>Luiza</t>
        </is>
      </c>
      <c r="E6" s="6" t="inlineStr">
        <is>
          <t>P0</t>
        </is>
      </c>
      <c r="F6" s="6" t="n">
        <v>1</v>
      </c>
      <c r="G6" s="8" t="n">
        <v>46262</v>
      </c>
      <c r="H6" s="6" t="inlineStr">
        <is>
          <t>—</t>
        </is>
      </c>
      <c r="I6" s="6" t="inlineStr">
        <is>
          <t>Não iniciado</t>
        </is>
      </c>
      <c r="J6" s="7" t="inlineStr"/>
      <c r="K6" s="8" t="inlineStr"/>
      <c r="L6" s="7" t="inlineStr">
        <is>
          <t>—</t>
        </is>
      </c>
    </row>
    <row r="7">
      <c r="A7" s="6" t="inlineStr">
        <is>
          <t>T1.6</t>
        </is>
      </c>
      <c r="B7" s="6" t="inlineStr">
        <is>
          <t>F1</t>
        </is>
      </c>
      <c r="C7" s="7" t="inlineStr">
        <is>
          <t>Criar os convites da cadência: touchpoint ter/qui, bloco de sexta, status quinzenal e comitê mensal</t>
        </is>
      </c>
      <c r="D7" s="6" t="inlineStr">
        <is>
          <t>Luiza</t>
        </is>
      </c>
      <c r="E7" s="6" t="inlineStr">
        <is>
          <t>P0</t>
        </is>
      </c>
      <c r="F7" s="6" t="n">
        <v>1</v>
      </c>
      <c r="G7" s="8" t="n">
        <v>46269</v>
      </c>
      <c r="H7" s="6" t="inlineStr">
        <is>
          <t>—</t>
        </is>
      </c>
      <c r="I7" s="6" t="inlineStr">
        <is>
          <t>Não iniciado</t>
        </is>
      </c>
      <c r="J7" s="7" t="inlineStr"/>
      <c r="K7" s="8" t="inlineStr"/>
      <c r="L7" s="7" t="inlineStr">
        <is>
          <t>—</t>
        </is>
      </c>
    </row>
    <row r="8">
      <c r="A8" s="6" t="inlineStr">
        <is>
          <t>T1.7</t>
        </is>
      </c>
      <c r="B8" s="6" t="inlineStr">
        <is>
          <t>F1</t>
        </is>
      </c>
      <c r="C8" s="7" t="inlineStr">
        <is>
          <t>Escrever as hipóteses que o piloto precisa testar</t>
        </is>
      </c>
      <c r="D8" s="6" t="inlineStr">
        <is>
          <t>Luana</t>
        </is>
      </c>
      <c r="E8" s="6" t="inlineStr">
        <is>
          <t>P1</t>
        </is>
      </c>
      <c r="F8" s="6" t="n">
        <v>2</v>
      </c>
      <c r="G8" s="8" t="n">
        <v>46269</v>
      </c>
      <c r="H8" s="6" t="inlineStr">
        <is>
          <t>T1.2</t>
        </is>
      </c>
      <c r="I8" s="6" t="inlineStr">
        <is>
          <t>Não iniciado</t>
        </is>
      </c>
      <c r="J8" s="7" t="inlineStr"/>
      <c r="K8" s="8" t="inlineStr"/>
      <c r="L8" s="7" t="inlineStr">
        <is>
          <t>—</t>
        </is>
      </c>
    </row>
    <row r="9">
      <c r="A9" s="6" t="inlineStr">
        <is>
          <t>T1.8</t>
        </is>
      </c>
      <c r="B9" s="6" t="inlineStr">
        <is>
          <t>F1</t>
        </is>
      </c>
      <c r="C9" s="7" t="inlineStr">
        <is>
          <t>Mapa de stakeholders: um ponto focal em Jurídico, Financeiro, People/DP, CS, Dados e MKT</t>
        </is>
      </c>
      <c r="D9" s="6" t="inlineStr">
        <is>
          <t>Luiza</t>
        </is>
      </c>
      <c r="E9" s="6" t="inlineStr">
        <is>
          <t>P1</t>
        </is>
      </c>
      <c r="F9" s="6" t="n">
        <v>3</v>
      </c>
      <c r="G9" s="8" t="n">
        <v>46269</v>
      </c>
      <c r="H9" s="6" t="inlineStr">
        <is>
          <t>—</t>
        </is>
      </c>
      <c r="I9" s="6" t="inlineStr">
        <is>
          <t>Não iniciado</t>
        </is>
      </c>
      <c r="J9" s="7" t="inlineStr"/>
      <c r="K9" s="8" t="inlineStr"/>
      <c r="L9" s="7" t="inlineStr">
        <is>
          <t>Todas</t>
        </is>
      </c>
    </row>
    <row r="10">
      <c r="A10" s="6" t="inlineStr">
        <is>
          <t>T1.9</t>
        </is>
      </c>
      <c r="B10" s="6" t="inlineStr">
        <is>
          <t>F1</t>
        </is>
      </c>
      <c r="C10" s="7" t="inlineStr">
        <is>
          <t>Apresentar o enquadramento ao Lucas e fechar o escopo</t>
        </is>
      </c>
      <c r="D10" s="6" t="inlineStr">
        <is>
          <t>Luana</t>
        </is>
      </c>
      <c r="E10" s="6" t="inlineStr">
        <is>
          <t>P0</t>
        </is>
      </c>
      <c r="F10" s="6" t="n">
        <v>2</v>
      </c>
      <c r="G10" s="8" t="n">
        <v>46269</v>
      </c>
      <c r="H10" s="6" t="inlineStr">
        <is>
          <t>T1.1,T1.2</t>
        </is>
      </c>
      <c r="I10" s="6" t="inlineStr">
        <is>
          <t>Não iniciado</t>
        </is>
      </c>
      <c r="J10" s="7" t="inlineStr"/>
      <c r="K10" s="8" t="inlineStr"/>
      <c r="L10" s="7" t="inlineStr">
        <is>
          <t>Liderança</t>
        </is>
      </c>
    </row>
    <row r="11">
      <c r="A11" s="6" t="inlineStr">
        <is>
          <t>T2.1</t>
        </is>
      </c>
      <c r="B11" s="6" t="inlineStr">
        <is>
          <t>F2</t>
        </is>
      </c>
      <c r="C11" s="7" t="inlineStr">
        <is>
          <t>Revisar a transcrição Amanda/Júlia x Thiago e extrair o direcional jurídico mínimo</t>
        </is>
      </c>
      <c r="D11" s="6" t="inlineStr">
        <is>
          <t>Luana</t>
        </is>
      </c>
      <c r="E11" s="6" t="inlineStr">
        <is>
          <t>P0</t>
        </is>
      </c>
      <c r="F11" s="6" t="n">
        <v>4</v>
      </c>
      <c r="G11" s="8" t="n">
        <v>46276</v>
      </c>
      <c r="H11" s="6" t="inlineStr">
        <is>
          <t>—</t>
        </is>
      </c>
      <c r="I11" s="6" t="inlineStr">
        <is>
          <t>Não iniciado</t>
        </is>
      </c>
      <c r="J11" s="7" t="inlineStr"/>
      <c r="K11" s="8" t="inlineStr"/>
      <c r="L11" s="7" t="inlineStr">
        <is>
          <t>Jurídico</t>
        </is>
      </c>
    </row>
    <row r="12">
      <c r="A12" s="6" t="inlineStr">
        <is>
          <t>T2.2</t>
        </is>
      </c>
      <c r="B12" s="6" t="inlineStr">
        <is>
          <t>F2</t>
        </is>
      </c>
      <c r="C12" s="7" t="inlineStr">
        <is>
          <t>Lista de red flags e perguntas para o Thiago: o que pode remunerar por modelo, vínculo, exclusividade, uso de marca</t>
        </is>
      </c>
      <c r="D12" s="6" t="inlineStr">
        <is>
          <t>Luana</t>
        </is>
      </c>
      <c r="E12" s="6" t="inlineStr">
        <is>
          <t>P0</t>
        </is>
      </c>
      <c r="F12" s="6" t="n">
        <v>2</v>
      </c>
      <c r="G12" s="8" t="n">
        <v>46276</v>
      </c>
      <c r="H12" s="6" t="inlineStr">
        <is>
          <t>T2.1</t>
        </is>
      </c>
      <c r="I12" s="6" t="inlineStr">
        <is>
          <t>Não iniciado</t>
        </is>
      </c>
      <c r="J12" s="7" t="inlineStr"/>
      <c r="K12" s="8" t="inlineStr"/>
      <c r="L12" s="7" t="inlineStr">
        <is>
          <t>Jurídico</t>
        </is>
      </c>
    </row>
    <row r="13">
      <c r="A13" s="6" t="inlineStr">
        <is>
          <t>T2.3</t>
        </is>
      </c>
      <c r="B13" s="6" t="inlineStr">
        <is>
          <t>F2</t>
        </is>
      </c>
      <c r="C13" s="7" t="inlineStr">
        <is>
          <t>Sessão de 45 min com o Thiago para o direcional (não é o parecer formal)</t>
        </is>
      </c>
      <c r="D13" s="6" t="inlineStr">
        <is>
          <t>Luana</t>
        </is>
      </c>
      <c r="E13" s="6" t="inlineStr">
        <is>
          <t>P0</t>
        </is>
      </c>
      <c r="F13" s="6" t="n">
        <v>2</v>
      </c>
      <c r="G13" s="8" t="n">
        <v>46283</v>
      </c>
      <c r="H13" s="6" t="inlineStr">
        <is>
          <t>T2.2</t>
        </is>
      </c>
      <c r="I13" s="6" t="inlineStr">
        <is>
          <t>Não iniciado</t>
        </is>
      </c>
      <c r="J13" s="7" t="inlineStr"/>
      <c r="K13" s="8" t="inlineStr"/>
      <c r="L13" s="7" t="inlineStr">
        <is>
          <t>Jurídico</t>
        </is>
      </c>
    </row>
    <row r="14">
      <c r="A14" s="6" t="inlineStr">
        <is>
          <t>T2.4</t>
        </is>
      </c>
      <c r="B14" s="6" t="inlineStr">
        <is>
          <t>F2</t>
        </is>
      </c>
      <c r="C14" s="7" t="inlineStr">
        <is>
          <t>Ficha do modelo de representação comercial (DTX/Imperium): remuneração, territorialidade, sub-regionais, prazo de revisão</t>
        </is>
      </c>
      <c r="D14" s="6" t="inlineStr">
        <is>
          <t>Luana</t>
        </is>
      </c>
      <c r="E14" s="6" t="inlineStr">
        <is>
          <t>P0</t>
        </is>
      </c>
      <c r="F14" s="6" t="n">
        <v>5</v>
      </c>
      <c r="G14" s="8" t="n">
        <v>46283</v>
      </c>
      <c r="H14" s="6" t="inlineStr">
        <is>
          <t>—</t>
        </is>
      </c>
      <c r="I14" s="6" t="inlineStr">
        <is>
          <t>Não iniciado</t>
        </is>
      </c>
      <c r="J14" s="7" t="inlineStr"/>
      <c r="K14" s="8" t="inlineStr"/>
      <c r="L14" s="7" t="inlineStr">
        <is>
          <t>—</t>
        </is>
      </c>
    </row>
    <row r="15">
      <c r="A15" s="6" t="inlineStr">
        <is>
          <t>T2.5</t>
        </is>
      </c>
      <c r="B15" s="6" t="inlineStr">
        <is>
          <t>F2</t>
        </is>
      </c>
      <c r="C15" s="7" t="inlineStr">
        <is>
          <t>Ficha dos modelos alternativos: agência de promotor (orçamento-referência) e franquia (obrigação por região)</t>
        </is>
      </c>
      <c r="D15" s="6" t="inlineStr">
        <is>
          <t>Luana</t>
        </is>
      </c>
      <c r="E15" s="6" t="inlineStr">
        <is>
          <t>P1</t>
        </is>
      </c>
      <c r="F15" s="6" t="n">
        <v>4</v>
      </c>
      <c r="G15" s="8" t="n">
        <v>46290</v>
      </c>
      <c r="H15" s="6" t="inlineStr">
        <is>
          <t>—</t>
        </is>
      </c>
      <c r="I15" s="6" t="inlineStr">
        <is>
          <t>Não iniciado</t>
        </is>
      </c>
      <c r="J15" s="7" t="inlineStr"/>
      <c r="K15" s="8" t="inlineStr"/>
      <c r="L15" s="7" t="inlineStr">
        <is>
          <t>—</t>
        </is>
      </c>
    </row>
    <row r="16">
      <c r="A16" s="6" t="inlineStr">
        <is>
          <t>T2.6</t>
        </is>
      </c>
      <c r="B16" s="6" t="inlineStr">
        <is>
          <t>F2</t>
        </is>
      </c>
      <c r="C16" s="7" t="inlineStr">
        <is>
          <t>Duas conversas de referência: Jérico/Imperium e um franqueado Stone regional</t>
        </is>
      </c>
      <c r="D16" s="6" t="inlineStr">
        <is>
          <t>Luana</t>
        </is>
      </c>
      <c r="E16" s="6" t="inlineStr">
        <is>
          <t>P1</t>
        </is>
      </c>
      <c r="F16" s="6" t="n">
        <v>3</v>
      </c>
      <c r="G16" s="8" t="n">
        <v>46297</v>
      </c>
      <c r="H16" s="6" t="inlineStr">
        <is>
          <t>T2.4</t>
        </is>
      </c>
      <c r="I16" s="6" t="inlineStr">
        <is>
          <t>Não iniciado</t>
        </is>
      </c>
      <c r="J16" s="7" t="inlineStr"/>
      <c r="K16" s="8" t="inlineStr"/>
      <c r="L16" s="7" t="inlineStr">
        <is>
          <t>—</t>
        </is>
      </c>
    </row>
    <row r="17">
      <c r="A17" s="6" t="inlineStr">
        <is>
          <t>T2.7</t>
        </is>
      </c>
      <c r="B17" s="6" t="inlineStr">
        <is>
          <t>F2</t>
        </is>
      </c>
      <c r="C17" s="7" t="inlineStr">
        <is>
          <t>Baseline de aquisição: R$14/novo cliente, 1-2% de incentivo sobre originação e o CAC real do projeto da Mandinha</t>
        </is>
      </c>
      <c r="D17" s="6" t="inlineStr">
        <is>
          <t>Luiza</t>
        </is>
      </c>
      <c r="E17" s="6" t="inlineStr">
        <is>
          <t>P0</t>
        </is>
      </c>
      <c r="F17" s="6" t="n">
        <v>4</v>
      </c>
      <c r="G17" s="8" t="n">
        <v>46283</v>
      </c>
      <c r="H17" s="6" t="inlineStr">
        <is>
          <t>—</t>
        </is>
      </c>
      <c r="I17" s="6" t="inlineStr">
        <is>
          <t>Não iniciado</t>
        </is>
      </c>
      <c r="J17" s="7" t="inlineStr"/>
      <c r="K17" s="8" t="inlineStr"/>
      <c r="L17" s="7" t="inlineStr">
        <is>
          <t>Financeiro, Dados</t>
        </is>
      </c>
    </row>
    <row r="18">
      <c r="A18" s="6" t="inlineStr">
        <is>
          <t>T2.8</t>
        </is>
      </c>
      <c r="B18" s="6" t="inlineStr">
        <is>
          <t>F2</t>
        </is>
      </c>
      <c r="C18" s="7" t="inlineStr">
        <is>
          <t>Comparativo pró x contra com a recomendação de modelo e defesa ao Lucas</t>
        </is>
      </c>
      <c r="D18" s="6" t="inlineStr">
        <is>
          <t>Luana</t>
        </is>
      </c>
      <c r="E18" s="6" t="inlineStr">
        <is>
          <t>P0</t>
        </is>
      </c>
      <c r="F18" s="6" t="n">
        <v>4</v>
      </c>
      <c r="G18" s="8" t="n">
        <v>46290</v>
      </c>
      <c r="H18" s="6" t="inlineStr">
        <is>
          <t>T2.3,T2.4,T2.5,T2.7</t>
        </is>
      </c>
      <c r="I18" s="6" t="inlineStr">
        <is>
          <t>Não iniciado</t>
        </is>
      </c>
      <c r="J18" s="7" t="inlineStr"/>
      <c r="K18" s="8" t="inlineStr"/>
      <c r="L18" s="7" t="inlineStr">
        <is>
          <t>Liderança</t>
        </is>
      </c>
    </row>
    <row r="19">
      <c r="A19" s="6" t="inlineStr">
        <is>
          <t>T2.9</t>
        </is>
      </c>
      <c r="B19" s="6" t="inlineStr">
        <is>
          <t>F2</t>
        </is>
      </c>
      <c r="C19" s="7" t="inlineStr">
        <is>
          <t>Inventário do onboarding do representante: tudo que ele precisa saber para representar a UME</t>
        </is>
      </c>
      <c r="D19" s="6" t="inlineStr">
        <is>
          <t>Luiza</t>
        </is>
      </c>
      <c r="E19" s="6" t="inlineStr">
        <is>
          <t>P0</t>
        </is>
      </c>
      <c r="F19" s="6" t="n">
        <v>5</v>
      </c>
      <c r="G19" s="8" t="n">
        <v>46290</v>
      </c>
      <c r="H19" s="6" t="inlineStr">
        <is>
          <t>—</t>
        </is>
      </c>
      <c r="I19" s="6" t="inlineStr">
        <is>
          <t>Não iniciado</t>
        </is>
      </c>
      <c r="J19" s="7" t="inlineStr"/>
      <c r="K19" s="8" t="inlineStr"/>
      <c r="L19" s="7" t="inlineStr">
        <is>
          <t>—</t>
        </is>
      </c>
    </row>
    <row r="20">
      <c r="A20" s="6" t="inlineStr">
        <is>
          <t>T2.10</t>
        </is>
      </c>
      <c r="B20" s="6" t="inlineStr">
        <is>
          <t>F2</t>
        </is>
      </c>
      <c r="C20" s="7" t="inlineStr">
        <is>
          <t>Inventário do onboarding do varejo, no modelo do que foi feito com o Habit</t>
        </is>
      </c>
      <c r="D20" s="6" t="inlineStr">
        <is>
          <t>Luiza</t>
        </is>
      </c>
      <c r="E20" s="6" t="inlineStr">
        <is>
          <t>P0</t>
        </is>
      </c>
      <c r="F20" s="6" t="n">
        <v>4</v>
      </c>
      <c r="G20" s="8" t="n">
        <v>46276</v>
      </c>
      <c r="H20" s="6" t="inlineStr">
        <is>
          <t>—</t>
        </is>
      </c>
      <c r="I20" s="6" t="inlineStr">
        <is>
          <t>Não iniciado</t>
        </is>
      </c>
      <c r="J20" s="7" t="inlineStr"/>
      <c r="K20" s="8" t="inlineStr"/>
      <c r="L20" s="7" t="inlineStr">
        <is>
          <t>Comercial</t>
        </is>
      </c>
    </row>
    <row r="21">
      <c r="A21" s="6" t="inlineStr">
        <is>
          <t>T2.11</t>
        </is>
      </c>
      <c r="B21" s="6" t="inlineStr">
        <is>
          <t>F2</t>
        </is>
      </c>
      <c r="C21" s="7" t="inlineStr">
        <is>
          <t>Mapear com o time da Amanda o fluxo de cadastro de lojas/operadores e a distribuição de acessos</t>
        </is>
      </c>
      <c r="D21" s="6" t="inlineStr">
        <is>
          <t>Luiza</t>
        </is>
      </c>
      <c r="E21" s="6" t="inlineStr">
        <is>
          <t>P0</t>
        </is>
      </c>
      <c r="F21" s="6" t="n">
        <v>4</v>
      </c>
      <c r="G21" s="8" t="n">
        <v>46283</v>
      </c>
      <c r="H21" s="6" t="inlineStr">
        <is>
          <t>—</t>
        </is>
      </c>
      <c r="I21" s="6" t="inlineStr">
        <is>
          <t>Não iniciado</t>
        </is>
      </c>
      <c r="J21" s="7" t="inlineStr"/>
      <c r="K21" s="8" t="inlineStr"/>
      <c r="L21" s="7" t="inlineStr">
        <is>
          <t>Comercial, Tech</t>
        </is>
      </c>
    </row>
    <row r="22">
      <c r="A22" s="6" t="inlineStr">
        <is>
          <t>T2.12</t>
        </is>
      </c>
      <c r="B22" s="6" t="inlineStr">
        <is>
          <t>F2</t>
        </is>
      </c>
      <c r="C22" s="7" t="inlineStr">
        <is>
          <t>Gap de dados: o que o Looker já entrega contra o que o dash self-service precisa</t>
        </is>
      </c>
      <c r="D22" s="6" t="inlineStr">
        <is>
          <t>Luiza</t>
        </is>
      </c>
      <c r="E22" s="6" t="inlineStr">
        <is>
          <t>P1</t>
        </is>
      </c>
      <c r="F22" s="6" t="n">
        <v>4</v>
      </c>
      <c r="G22" s="8" t="n">
        <v>46290</v>
      </c>
      <c r="H22" s="6" t="inlineStr">
        <is>
          <t>—</t>
        </is>
      </c>
      <c r="I22" s="6" t="inlineStr">
        <is>
          <t>Não iniciado</t>
        </is>
      </c>
      <c r="J22" s="7" t="inlineStr"/>
      <c r="K22" s="8" t="inlineStr"/>
      <c r="L22" s="7" t="inlineStr">
        <is>
          <t>Dados</t>
        </is>
      </c>
    </row>
    <row r="23">
      <c r="A23" s="6" t="inlineStr">
        <is>
          <t>T2.13</t>
        </is>
      </c>
      <c r="B23" s="6" t="inlineStr">
        <is>
          <t>F3</t>
        </is>
      </c>
      <c r="C23" s="7" t="inlineStr">
        <is>
          <t>Mapa de exceções: o que o atendimento resolve e o que sobra para o time interno</t>
        </is>
      </c>
      <c r="D23" s="6" t="inlineStr">
        <is>
          <t>Luiza</t>
        </is>
      </c>
      <c r="E23" s="6" t="inlineStr">
        <is>
          <t>P1</t>
        </is>
      </c>
      <c r="F23" s="6" t="n">
        <v>3</v>
      </c>
      <c r="G23" s="8" t="n">
        <v>46318</v>
      </c>
      <c r="H23" s="6" t="inlineStr">
        <is>
          <t>—</t>
        </is>
      </c>
      <c r="I23" s="6" t="inlineStr">
        <is>
          <t>Não iniciado</t>
        </is>
      </c>
      <c r="J23" s="7" t="inlineStr"/>
      <c r="K23" s="8" t="inlineStr"/>
      <c r="L23" s="7" t="inlineStr">
        <is>
          <t>CS</t>
        </is>
      </c>
    </row>
    <row r="24">
      <c r="A24" s="6" t="inlineStr">
        <is>
          <t>T2.14</t>
        </is>
      </c>
      <c r="B24" s="6" t="inlineStr">
        <is>
          <t>F3</t>
        </is>
      </c>
      <c r="C24" s="7" t="inlineStr">
        <is>
          <t>Levantar o que existe hoje de peça de trade e de brand book</t>
        </is>
      </c>
      <c r="D24" s="6" t="inlineStr">
        <is>
          <t>Luiza</t>
        </is>
      </c>
      <c r="E24" s="6" t="inlineStr">
        <is>
          <t>P2</t>
        </is>
      </c>
      <c r="F24" s="6" t="n">
        <v>2</v>
      </c>
      <c r="G24" s="8" t="n">
        <v>46339</v>
      </c>
      <c r="H24" s="6" t="inlineStr">
        <is>
          <t>—</t>
        </is>
      </c>
      <c r="I24" s="6" t="inlineStr">
        <is>
          <t>Não iniciado</t>
        </is>
      </c>
      <c r="J24" s="7" t="inlineStr"/>
      <c r="K24" s="8" t="inlineStr"/>
      <c r="L24" s="7" t="inlineStr">
        <is>
          <t>MKT</t>
        </is>
      </c>
    </row>
    <row r="25">
      <c r="A25" s="6" t="inlineStr">
        <is>
          <t>T3.1</t>
        </is>
      </c>
      <c r="B25" s="6" t="inlineStr">
        <is>
          <t>F3</t>
        </is>
      </c>
      <c r="C25" s="7" t="inlineStr">
        <is>
          <t>Árvore de métricas: CAC como âncora, componente de recorrência e guardrails de FPD, MOIC e inadimplência</t>
        </is>
      </c>
      <c r="D25" s="6" t="inlineStr">
        <is>
          <t>Luana</t>
        </is>
      </c>
      <c r="E25" s="6" t="inlineStr">
        <is>
          <t>P0</t>
        </is>
      </c>
      <c r="F25" s="6" t="n">
        <v>5</v>
      </c>
      <c r="G25" s="8" t="n">
        <v>46297</v>
      </c>
      <c r="H25" s="6" t="inlineStr">
        <is>
          <t>T2.7,T2.8</t>
        </is>
      </c>
      <c r="I25" s="6" t="inlineStr">
        <is>
          <t>Não iniciado</t>
        </is>
      </c>
      <c r="J25" s="7" t="inlineStr"/>
      <c r="K25" s="8" t="inlineStr"/>
      <c r="L25" s="7" t="inlineStr">
        <is>
          <t>Financeiro, Risco</t>
        </is>
      </c>
    </row>
    <row r="26">
      <c r="A26" s="6" t="inlineStr">
        <is>
          <t>T3.2</t>
        </is>
      </c>
      <c r="B26" s="6" t="inlineStr">
        <is>
          <t>F3</t>
        </is>
      </c>
      <c r="C26" s="7" t="inlineStr">
        <is>
          <t>Modelar os 3 cenários de remuneração: 100% variável em CAC; CAC + recorrência; fixo + variável com gatilho</t>
        </is>
      </c>
      <c r="D26" s="6" t="inlineStr">
        <is>
          <t>Luana</t>
        </is>
      </c>
      <c r="E26" s="6" t="inlineStr">
        <is>
          <t>P0</t>
        </is>
      </c>
      <c r="F26" s="6" t="n">
        <v>8</v>
      </c>
      <c r="G26" s="8" t="n">
        <v>46304</v>
      </c>
      <c r="H26" s="6" t="inlineStr">
        <is>
          <t>T3.1</t>
        </is>
      </c>
      <c r="I26" s="6" t="inlineStr">
        <is>
          <t>Não iniciado</t>
        </is>
      </c>
      <c r="J26" s="7" t="inlineStr"/>
      <c r="K26" s="8" t="inlineStr"/>
      <c r="L26" s="7" t="inlineStr">
        <is>
          <t>Financeiro</t>
        </is>
      </c>
    </row>
    <row r="27">
      <c r="A27" s="6" t="inlineStr">
        <is>
          <t>T3.3</t>
        </is>
      </c>
      <c r="B27" s="6" t="inlineStr">
        <is>
          <t>F3</t>
        </is>
      </c>
      <c r="C27" s="7" t="inlineStr">
        <is>
          <t>Business case: ponto de equilíbrio por carteira e custo de incentivo contra originação</t>
        </is>
      </c>
      <c r="D27" s="6" t="inlineStr">
        <is>
          <t>Luana</t>
        </is>
      </c>
      <c r="E27" s="6" t="inlineStr">
        <is>
          <t>P0</t>
        </is>
      </c>
      <c r="F27" s="6" t="n">
        <v>6</v>
      </c>
      <c r="G27" s="8" t="n">
        <v>46311</v>
      </c>
      <c r="H27" s="6" t="inlineStr">
        <is>
          <t>T3.2</t>
        </is>
      </c>
      <c r="I27" s="6" t="inlineStr">
        <is>
          <t>Não iniciado</t>
        </is>
      </c>
      <c r="J27" s="7" t="inlineStr"/>
      <c r="K27" s="8" t="inlineStr"/>
      <c r="L27" s="7" t="inlineStr">
        <is>
          <t>Financeiro</t>
        </is>
      </c>
    </row>
    <row r="28">
      <c r="A28" s="6" t="inlineStr">
        <is>
          <t>T3.4</t>
        </is>
      </c>
      <c r="B28" s="6" t="inlineStr">
        <is>
          <t>F3</t>
        </is>
      </c>
      <c r="C28" s="7" t="inlineStr">
        <is>
          <t>Regras de apuração e pagamento (parte em 30 dias, parte condicionada) e emissão de NF</t>
        </is>
      </c>
      <c r="D28" s="6" t="inlineStr">
        <is>
          <t>Luana</t>
        </is>
      </c>
      <c r="E28" s="6" t="inlineStr">
        <is>
          <t>P0</t>
        </is>
      </c>
      <c r="F28" s="6" t="n">
        <v>4</v>
      </c>
      <c r="G28" s="8" t="n">
        <v>46318</v>
      </c>
      <c r="H28" s="6" t="inlineStr">
        <is>
          <t>T3.2</t>
        </is>
      </c>
      <c r="I28" s="6" t="inlineStr">
        <is>
          <t>Não iniciado</t>
        </is>
      </c>
      <c r="J28" s="7" t="inlineStr"/>
      <c r="K28" s="8" t="inlineStr"/>
      <c r="L28" s="7" t="inlineStr">
        <is>
          <t>Financeiro, DP</t>
        </is>
      </c>
    </row>
    <row r="29">
      <c r="A29" s="6" t="inlineStr">
        <is>
          <t>T3.5</t>
        </is>
      </c>
      <c r="B29" s="6" t="inlineStr">
        <is>
          <t>F3</t>
        </is>
      </c>
      <c r="C29" s="7" t="inlineStr">
        <is>
          <t>Matriz de alçadas: o que o representante negocia (limite, juros, MDR) e o que a UME nunca terceiriza</t>
        </is>
      </c>
      <c r="D29" s="6" t="inlineStr">
        <is>
          <t>Luana</t>
        </is>
      </c>
      <c r="E29" s="6" t="inlineStr">
        <is>
          <t>P0</t>
        </is>
      </c>
      <c r="F29" s="6" t="n">
        <v>4</v>
      </c>
      <c r="G29" s="8" t="n">
        <v>46318</v>
      </c>
      <c r="H29" s="6" t="inlineStr">
        <is>
          <t>T2.1</t>
        </is>
      </c>
      <c r="I29" s="6" t="inlineStr">
        <is>
          <t>Não iniciado</t>
        </is>
      </c>
      <c r="J29" s="7" t="inlineStr"/>
      <c r="K29" s="8" t="inlineStr"/>
      <c r="L29" s="7" t="inlineStr">
        <is>
          <t>Risco, Crédito</t>
        </is>
      </c>
    </row>
    <row r="30">
      <c r="A30" s="6" t="inlineStr">
        <is>
          <t>T3.6</t>
        </is>
      </c>
      <c r="B30" s="6" t="inlineStr">
        <is>
          <t>F3</t>
        </is>
      </c>
      <c r="C30" s="7" t="inlineStr">
        <is>
          <t>Parecer do Thiago sobre o cenário escolhido</t>
        </is>
      </c>
      <c r="D30" s="6" t="inlineStr">
        <is>
          <t>Luana</t>
        </is>
      </c>
      <c r="E30" s="6" t="inlineStr">
        <is>
          <t>P0</t>
        </is>
      </c>
      <c r="F30" s="6" t="n">
        <v>3</v>
      </c>
      <c r="G30" s="8" t="n">
        <v>46325</v>
      </c>
      <c r="H30" s="6" t="inlineStr">
        <is>
          <t>T3.3,T3.5</t>
        </is>
      </c>
      <c r="I30" s="6" t="inlineStr">
        <is>
          <t>Não iniciado</t>
        </is>
      </c>
      <c r="J30" s="7" t="inlineStr"/>
      <c r="K30" s="8" t="inlineStr"/>
      <c r="L30" s="7" t="inlineStr">
        <is>
          <t>Jurídico</t>
        </is>
      </c>
    </row>
    <row r="31">
      <c r="A31" s="6" t="inlineStr">
        <is>
          <t>T3.7</t>
        </is>
      </c>
      <c r="B31" s="6" t="inlineStr">
        <is>
          <t>F3</t>
        </is>
      </c>
      <c r="C31" s="7" t="inlineStr">
        <is>
          <t>Minuta de contrato: prazos, métricas, custos, responsabilidades, territorialidade, LGPD e rescisão</t>
        </is>
      </c>
      <c r="D31" s="6" t="inlineStr">
        <is>
          <t>Luana</t>
        </is>
      </c>
      <c r="E31" s="6" t="inlineStr">
        <is>
          <t>P0</t>
        </is>
      </c>
      <c r="F31" s="6" t="n">
        <v>6</v>
      </c>
      <c r="G31" s="8" t="n">
        <v>46325</v>
      </c>
      <c r="H31" s="6" t="inlineStr">
        <is>
          <t>T3.6</t>
        </is>
      </c>
      <c r="I31" s="6" t="inlineStr">
        <is>
          <t>Não iniciado</t>
        </is>
      </c>
      <c r="J31" s="7" t="inlineStr"/>
      <c r="K31" s="8" t="inlineStr"/>
      <c r="L31" s="7" t="inlineStr">
        <is>
          <t>Jurídico</t>
        </is>
      </c>
    </row>
    <row r="32">
      <c r="A32" s="6" t="inlineStr">
        <is>
          <t>T3.8</t>
        </is>
      </c>
      <c r="B32" s="6" t="inlineStr">
        <is>
          <t>F3</t>
        </is>
      </c>
      <c r="C32" s="7" t="inlineStr">
        <is>
          <t>Perfil e critérios de seleção do representante, com People</t>
        </is>
      </c>
      <c r="D32" s="6" t="inlineStr">
        <is>
          <t>Luana</t>
        </is>
      </c>
      <c r="E32" s="6" t="inlineStr">
        <is>
          <t>P1</t>
        </is>
      </c>
      <c r="F32" s="6" t="n">
        <v>4</v>
      </c>
      <c r="G32" s="8" t="n">
        <v>46332</v>
      </c>
      <c r="H32" s="6" t="inlineStr">
        <is>
          <t>—</t>
        </is>
      </c>
      <c r="I32" s="6" t="inlineStr">
        <is>
          <t>Não iniciado</t>
        </is>
      </c>
      <c r="J32" s="7" t="inlineStr"/>
      <c r="K32" s="8" t="inlineStr"/>
      <c r="L32" s="7" t="inlineStr">
        <is>
          <t>People</t>
        </is>
      </c>
    </row>
    <row r="33">
      <c r="A33" s="6" t="inlineStr">
        <is>
          <t>T3.9</t>
        </is>
      </c>
      <c r="B33" s="6" t="inlineStr">
        <is>
          <t>F3</t>
        </is>
      </c>
      <c r="C33" s="7" t="inlineStr">
        <is>
          <t>Estrutura hierárquica: quem é o dono do modelo na UME e por qual canal o representante fala com a gente</t>
        </is>
      </c>
      <c r="D33" s="6" t="inlineStr">
        <is>
          <t>Luana</t>
        </is>
      </c>
      <c r="E33" s="6" t="inlineStr">
        <is>
          <t>P1</t>
        </is>
      </c>
      <c r="F33" s="6" t="n">
        <v>3</v>
      </c>
      <c r="G33" s="8" t="n">
        <v>46332</v>
      </c>
      <c r="H33" s="6" t="inlineStr">
        <is>
          <t>—</t>
        </is>
      </c>
      <c r="I33" s="6" t="inlineStr">
        <is>
          <t>Não iniciado</t>
        </is>
      </c>
      <c r="J33" s="7" t="inlineStr"/>
      <c r="K33" s="8" t="inlineStr"/>
      <c r="L33" s="7" t="inlineStr">
        <is>
          <t>People</t>
        </is>
      </c>
    </row>
    <row r="34">
      <c r="A34" s="6" t="inlineStr">
        <is>
          <t>T3.10</t>
        </is>
      </c>
      <c r="B34" s="6" t="inlineStr">
        <is>
          <t>F3</t>
        </is>
      </c>
      <c r="C34" s="7" t="inlineStr">
        <is>
          <t>Trilha de onboarding do representante: conteúdo, roteiro e certificação de aptidão</t>
        </is>
      </c>
      <c r="D34" s="6" t="inlineStr">
        <is>
          <t>Luiza</t>
        </is>
      </c>
      <c r="E34" s="6" t="inlineStr">
        <is>
          <t>P0</t>
        </is>
      </c>
      <c r="F34" s="6" t="n">
        <v>8</v>
      </c>
      <c r="G34" s="8" t="n">
        <v>46297</v>
      </c>
      <c r="H34" s="6" t="inlineStr">
        <is>
          <t>T2.9</t>
        </is>
      </c>
      <c r="I34" s="6" t="inlineStr">
        <is>
          <t>Não iniciado</t>
        </is>
      </c>
      <c r="J34" s="7" t="inlineStr"/>
      <c r="K34" s="8" t="inlineStr"/>
      <c r="L34" s="7" t="inlineStr">
        <is>
          <t>—</t>
        </is>
      </c>
    </row>
    <row r="35">
      <c r="A35" s="6" t="inlineStr">
        <is>
          <t>T3.11</t>
        </is>
      </c>
      <c r="B35" s="6" t="inlineStr">
        <is>
          <t>F3</t>
        </is>
      </c>
      <c r="C35" s="7" t="inlineStr">
        <is>
          <t>Guia 'o que fazer com o varejo': ativação passo a passo, treinamento operacional e financeiro</t>
        </is>
      </c>
      <c r="D35" s="6" t="inlineStr">
        <is>
          <t>Luiza</t>
        </is>
      </c>
      <c r="E35" s="6" t="inlineStr">
        <is>
          <t>P0</t>
        </is>
      </c>
      <c r="F35" s="6" t="n">
        <v>8</v>
      </c>
      <c r="G35" s="8" t="n">
        <v>46304</v>
      </c>
      <c r="H35" s="6" t="inlineStr">
        <is>
          <t>T2.10</t>
        </is>
      </c>
      <c r="I35" s="6" t="inlineStr">
        <is>
          <t>Não iniciado</t>
        </is>
      </c>
      <c r="J35" s="7" t="inlineStr"/>
      <c r="K35" s="8" t="inlineStr"/>
      <c r="L35" s="7" t="inlineStr">
        <is>
          <t>CS</t>
        </is>
      </c>
    </row>
    <row r="36">
      <c r="A36" s="6" t="inlineStr">
        <is>
          <t>T3.12</t>
        </is>
      </c>
      <c r="B36" s="6" t="inlineStr">
        <is>
          <t>F3</t>
        </is>
      </c>
      <c r="C36" s="7" t="inlineStr">
        <is>
          <t>Spec do dash de operação self-service: consulta, venda, aprovação, conversão, filtros e export CSV</t>
        </is>
      </c>
      <c r="D36" s="6" t="inlineStr">
        <is>
          <t>Luiza</t>
        </is>
      </c>
      <c r="E36" s="6" t="inlineStr">
        <is>
          <t>P0</t>
        </is>
      </c>
      <c r="F36" s="6" t="n">
        <v>5</v>
      </c>
      <c r="G36" s="8" t="n">
        <v>46311</v>
      </c>
      <c r="H36" s="6" t="inlineStr">
        <is>
          <t>T2.12</t>
        </is>
      </c>
      <c r="I36" s="6" t="inlineStr">
        <is>
          <t>Não iniciado</t>
        </is>
      </c>
      <c r="J36" s="7" t="inlineStr"/>
      <c r="K36" s="8" t="inlineStr"/>
      <c r="L36" s="7" t="inlineStr">
        <is>
          <t>Dados</t>
        </is>
      </c>
    </row>
    <row r="37">
      <c r="A37" s="6" t="inlineStr">
        <is>
          <t>T3.13</t>
        </is>
      </c>
      <c r="B37" s="6" t="inlineStr">
        <is>
          <t>F3</t>
        </is>
      </c>
      <c r="C37" s="7" t="inlineStr">
        <is>
          <t>Spec do dash financeiro e do CSV que sustenta a apuração da remuneração</t>
        </is>
      </c>
      <c r="D37" s="6" t="inlineStr">
        <is>
          <t>Luiza</t>
        </is>
      </c>
      <c r="E37" s="6" t="inlineStr">
        <is>
          <t>P0</t>
        </is>
      </c>
      <c r="F37" s="6" t="n">
        <v>4</v>
      </c>
      <c r="G37" s="8" t="n">
        <v>46318</v>
      </c>
      <c r="H37" s="6" t="inlineStr">
        <is>
          <t>T3.1</t>
        </is>
      </c>
      <c r="I37" s="6" t="inlineStr">
        <is>
          <t>Não iniciado</t>
        </is>
      </c>
      <c r="J37" s="7" t="inlineStr"/>
      <c r="K37" s="8" t="inlineStr"/>
      <c r="L37" s="7" t="inlineStr">
        <is>
          <t>Dados, Financeiro</t>
        </is>
      </c>
    </row>
    <row r="38">
      <c r="A38" s="6" t="inlineStr">
        <is>
          <t>T3.14</t>
        </is>
      </c>
      <c r="B38" s="6" t="inlineStr">
        <is>
          <t>F3</t>
        </is>
      </c>
      <c r="C38" s="7" t="inlineStr">
        <is>
          <t>'DP do representante': NF, prazo e forma de pagamento, canal oficial e acessos</t>
        </is>
      </c>
      <c r="D38" s="6" t="inlineStr">
        <is>
          <t>Luiza</t>
        </is>
      </c>
      <c r="E38" s="6" t="inlineStr">
        <is>
          <t>P1</t>
        </is>
      </c>
      <c r="F38" s="6" t="n">
        <v>4</v>
      </c>
      <c r="G38" s="8" t="n">
        <v>46325</v>
      </c>
      <c r="H38" s="6" t="inlineStr">
        <is>
          <t>T3.4</t>
        </is>
      </c>
      <c r="I38" s="6" t="inlineStr">
        <is>
          <t>Não iniciado</t>
        </is>
      </c>
      <c r="J38" s="7" t="inlineStr"/>
      <c r="K38" s="8" t="inlineStr"/>
      <c r="L38" s="7" t="inlineStr">
        <is>
          <t>DP, Tech</t>
        </is>
      </c>
    </row>
    <row r="39">
      <c r="A39" s="6" t="inlineStr">
        <is>
          <t>T3.15</t>
        </is>
      </c>
      <c r="B39" s="6" t="inlineStr">
        <is>
          <t>F3</t>
        </is>
      </c>
      <c r="C39" s="7" t="inlineStr">
        <is>
          <t>Fluxo alvo de cadastro e acessos + SLA com o time da Amanda</t>
        </is>
      </c>
      <c r="D39" s="6" t="inlineStr">
        <is>
          <t>Luiza</t>
        </is>
      </c>
      <c r="E39" s="6" t="inlineStr">
        <is>
          <t>P1</t>
        </is>
      </c>
      <c r="F39" s="6" t="n">
        <v>5</v>
      </c>
      <c r="G39" s="8" t="n">
        <v>46325</v>
      </c>
      <c r="H39" s="6" t="inlineStr">
        <is>
          <t>T2.11</t>
        </is>
      </c>
      <c r="I39" s="6" t="inlineStr">
        <is>
          <t>Não iniciado</t>
        </is>
      </c>
      <c r="J39" s="7" t="inlineStr"/>
      <c r="K39" s="8" t="inlineStr"/>
      <c r="L39" s="7" t="inlineStr">
        <is>
          <t>Comercial, Tech</t>
        </is>
      </c>
    </row>
    <row r="40">
      <c r="A40" s="6" t="inlineStr">
        <is>
          <t>T3.16</t>
        </is>
      </c>
      <c r="B40" s="6" t="inlineStr">
        <is>
          <t>F3</t>
        </is>
      </c>
      <c r="C40" s="7" t="inlineStr">
        <is>
          <t>Guia de boas práticas (uniformização, promotor de loja) escrito como recomendação, nunca obrigação</t>
        </is>
      </c>
      <c r="D40" s="6" t="inlineStr">
        <is>
          <t>Luiza</t>
        </is>
      </c>
      <c r="E40" s="6" t="inlineStr">
        <is>
          <t>P1</t>
        </is>
      </c>
      <c r="F40" s="6" t="n">
        <v>3</v>
      </c>
      <c r="G40" s="8" t="n">
        <v>46332</v>
      </c>
      <c r="H40" s="6" t="inlineStr">
        <is>
          <t>—</t>
        </is>
      </c>
      <c r="I40" s="6" t="inlineStr">
        <is>
          <t>Não iniciado</t>
        </is>
      </c>
      <c r="J40" s="7" t="inlineStr"/>
      <c r="K40" s="8" t="inlineStr"/>
      <c r="L40" s="7" t="inlineStr">
        <is>
          <t>Jurídico, MKT</t>
        </is>
      </c>
    </row>
    <row r="41">
      <c r="A41" s="6" t="inlineStr">
        <is>
          <t>T3.17</t>
        </is>
      </c>
      <c r="B41" s="6" t="inlineStr">
        <is>
          <t>F3</t>
        </is>
      </c>
      <c r="C41" s="7" t="inlineStr">
        <is>
          <t>FAQ e canais de atendimento do varejo</t>
        </is>
      </c>
      <c r="D41" s="6" t="inlineStr">
        <is>
          <t>Luiza</t>
        </is>
      </c>
      <c r="E41" s="6" t="inlineStr">
        <is>
          <t>P2</t>
        </is>
      </c>
      <c r="F41" s="6" t="n">
        <v>4</v>
      </c>
      <c r="G41" s="8" t="n">
        <v>46339</v>
      </c>
      <c r="H41" s="6" t="inlineStr">
        <is>
          <t>T3.11</t>
        </is>
      </c>
      <c r="I41" s="6" t="inlineStr">
        <is>
          <t>Não iniciado</t>
        </is>
      </c>
      <c r="J41" s="7" t="inlineStr"/>
      <c r="K41" s="8" t="inlineStr"/>
      <c r="L41" s="7" t="inlineStr">
        <is>
          <t>CS</t>
        </is>
      </c>
    </row>
    <row r="42">
      <c r="A42" s="6" t="inlineStr">
        <is>
          <t>T3.18</t>
        </is>
      </c>
      <c r="B42" s="6" t="inlineStr">
        <is>
          <t>F3</t>
        </is>
      </c>
      <c r="C42" s="7" t="inlineStr">
        <is>
          <t>Rotina de ongoing do representante: report, apuração, agenda de alinhamento e fluxo de exceção</t>
        </is>
      </c>
      <c r="D42" s="6" t="inlineStr">
        <is>
          <t>Luiza</t>
        </is>
      </c>
      <c r="E42" s="6" t="inlineStr">
        <is>
          <t>P1</t>
        </is>
      </c>
      <c r="F42" s="6" t="n">
        <v>4</v>
      </c>
      <c r="G42" s="8" t="n">
        <v>46332</v>
      </c>
      <c r="H42" s="6" t="inlineStr">
        <is>
          <t>T2.13</t>
        </is>
      </c>
      <c r="I42" s="6" t="inlineStr">
        <is>
          <t>Não iniciado</t>
        </is>
      </c>
      <c r="J42" s="7" t="inlineStr"/>
      <c r="K42" s="8" t="inlineStr"/>
      <c r="L42" s="7" t="inlineStr">
        <is>
          <t>CS</t>
        </is>
      </c>
    </row>
    <row r="43">
      <c r="A43" s="6" t="inlineStr">
        <is>
          <t>T4.1</t>
        </is>
      </c>
      <c r="B43" s="6" t="inlineStr">
        <is>
          <t>F4</t>
        </is>
      </c>
      <c r="C43" s="7" t="inlineStr">
        <is>
          <t>Definir a carteira do piloto aplicando a régua de segmentação</t>
        </is>
      </c>
      <c r="D43" s="6" t="inlineStr">
        <is>
          <t>Luana</t>
        </is>
      </c>
      <c r="E43" s="6" t="inlineStr">
        <is>
          <t>P0</t>
        </is>
      </c>
      <c r="F43" s="6" t="n">
        <v>4</v>
      </c>
      <c r="G43" s="8" t="n">
        <v>46346</v>
      </c>
      <c r="H43" s="6" t="inlineStr">
        <is>
          <t>T1.3</t>
        </is>
      </c>
      <c r="I43" s="6" t="inlineStr">
        <is>
          <t>Não iniciado</t>
        </is>
      </c>
      <c r="J43" s="7" t="inlineStr"/>
      <c r="K43" s="8" t="inlineStr"/>
      <c r="L43" s="7" t="inlineStr">
        <is>
          <t>Comercial, Dados</t>
        </is>
      </c>
    </row>
    <row r="44">
      <c r="A44" s="6" t="inlineStr">
        <is>
          <t>T4.2</t>
        </is>
      </c>
      <c r="B44" s="6" t="inlineStr">
        <is>
          <t>F4</t>
        </is>
      </c>
      <c r="C44" s="7" t="inlineStr">
        <is>
          <t>Prospectar e selecionar o parceiro do piloto, avaliando usar a estrutura que já roda como piloto zero</t>
        </is>
      </c>
      <c r="D44" s="6" t="inlineStr">
        <is>
          <t>Luana</t>
        </is>
      </c>
      <c r="E44" s="6" t="inlineStr">
        <is>
          <t>P0</t>
        </is>
      </c>
      <c r="F44" s="6" t="n">
        <v>10</v>
      </c>
      <c r="G44" s="8" t="n">
        <v>46353</v>
      </c>
      <c r="H44" s="6" t="inlineStr">
        <is>
          <t>T3.8</t>
        </is>
      </c>
      <c r="I44" s="6" t="inlineStr">
        <is>
          <t>Não iniciado</t>
        </is>
      </c>
      <c r="J44" s="7" t="inlineStr"/>
      <c r="K44" s="8" t="inlineStr"/>
      <c r="L44" s="7" t="inlineStr">
        <is>
          <t>People</t>
        </is>
      </c>
    </row>
    <row r="45">
      <c r="A45" s="6" t="inlineStr">
        <is>
          <t>T4.3</t>
        </is>
      </c>
      <c r="B45" s="6" t="inlineStr">
        <is>
          <t>F4</t>
        </is>
      </c>
      <c r="C45" s="7" t="inlineStr">
        <is>
          <t>Negociar e assinar o contrato do piloto</t>
        </is>
      </c>
      <c r="D45" s="6" t="inlineStr">
        <is>
          <t>Luana</t>
        </is>
      </c>
      <c r="E45" s="6" t="inlineStr">
        <is>
          <t>P0</t>
        </is>
      </c>
      <c r="F45" s="6" t="n">
        <v>6</v>
      </c>
      <c r="G45" s="8" t="n">
        <v>46360</v>
      </c>
      <c r="H45" s="6" t="inlineStr">
        <is>
          <t>T3.7,T4.2</t>
        </is>
      </c>
      <c r="I45" s="6" t="inlineStr">
        <is>
          <t>Não iniciado</t>
        </is>
      </c>
      <c r="J45" s="7" t="inlineStr"/>
      <c r="K45" s="8" t="inlineStr"/>
      <c r="L45" s="7" t="inlineStr">
        <is>
          <t>Jurídico, Financeiro</t>
        </is>
      </c>
    </row>
    <row r="46">
      <c r="A46" s="6" t="inlineStr">
        <is>
          <t>T4.4</t>
        </is>
      </c>
      <c r="B46" s="6" t="inlineStr">
        <is>
          <t>F4</t>
        </is>
      </c>
      <c r="C46" s="7" t="inlineStr">
        <is>
          <t>Cadastrar o parceiro como fornecedor e testar o ciclo apuração &gt; NF &gt; pagamento</t>
        </is>
      </c>
      <c r="D46" s="6" t="inlineStr">
        <is>
          <t>Luana</t>
        </is>
      </c>
      <c r="E46" s="6" t="inlineStr">
        <is>
          <t>P0</t>
        </is>
      </c>
      <c r="F46" s="6" t="n">
        <v>4</v>
      </c>
      <c r="G46" s="8" t="n">
        <v>46367</v>
      </c>
      <c r="H46" s="6" t="inlineStr">
        <is>
          <t>T4.3</t>
        </is>
      </c>
      <c r="I46" s="6" t="inlineStr">
        <is>
          <t>Não iniciado</t>
        </is>
      </c>
      <c r="J46" s="7" t="inlineStr"/>
      <c r="K46" s="8" t="inlineStr"/>
      <c r="L46" s="7" t="inlineStr">
        <is>
          <t>Financeiro, DP</t>
        </is>
      </c>
    </row>
    <row r="47">
      <c r="A47" s="6" t="inlineStr">
        <is>
          <t>T4.5</t>
        </is>
      </c>
      <c r="B47" s="6" t="inlineStr">
        <is>
          <t>F4</t>
        </is>
      </c>
      <c r="C47" s="7" t="inlineStr">
        <is>
          <t>Status de fechamento do ano para o Lucas</t>
        </is>
      </c>
      <c r="D47" s="6" t="inlineStr">
        <is>
          <t>Luana</t>
        </is>
      </c>
      <c r="E47" s="6" t="inlineStr">
        <is>
          <t>P1</t>
        </is>
      </c>
      <c r="F47" s="6" t="n">
        <v>2</v>
      </c>
      <c r="G47" s="8" t="n">
        <v>46367</v>
      </c>
      <c r="H47" s="6" t="inlineStr">
        <is>
          <t>—</t>
        </is>
      </c>
      <c r="I47" s="6" t="inlineStr">
        <is>
          <t>Não iniciado</t>
        </is>
      </c>
      <c r="J47" s="7" t="inlineStr"/>
      <c r="K47" s="8" t="inlineStr"/>
      <c r="L47" s="7" t="inlineStr">
        <is>
          <t>Liderança</t>
        </is>
      </c>
    </row>
    <row r="48">
      <c r="A48" s="6" t="inlineStr">
        <is>
          <t>T4.6</t>
        </is>
      </c>
      <c r="B48" s="6" t="inlineStr">
        <is>
          <t>F4</t>
        </is>
      </c>
      <c r="C48" s="7" t="inlineStr">
        <is>
          <t>Publicar o dash de operação e o dash financeiro com a carteira-piloto carregada</t>
        </is>
      </c>
      <c r="D48" s="6" t="inlineStr">
        <is>
          <t>Luiza</t>
        </is>
      </c>
      <c r="E48" s="6" t="inlineStr">
        <is>
          <t>P0</t>
        </is>
      </c>
      <c r="F48" s="6" t="n">
        <v>8</v>
      </c>
      <c r="G48" s="8" t="n">
        <v>46360</v>
      </c>
      <c r="H48" s="6" t="inlineStr">
        <is>
          <t>T3.12,T3.13,T4.1</t>
        </is>
      </c>
      <c r="I48" s="6" t="inlineStr">
        <is>
          <t>Não iniciado</t>
        </is>
      </c>
      <c r="J48" s="7" t="inlineStr"/>
      <c r="K48" s="8" t="inlineStr"/>
      <c r="L48" s="7" t="inlineStr">
        <is>
          <t>Dados</t>
        </is>
      </c>
    </row>
    <row r="49">
      <c r="A49" s="6" t="inlineStr">
        <is>
          <t>T4.7</t>
        </is>
      </c>
      <c r="B49" s="6" t="inlineStr">
        <is>
          <t>F4</t>
        </is>
      </c>
      <c r="C49" s="7" t="inlineStr">
        <is>
          <t>Publicar o repositório de peças de trade e o recorte de brand book, com dono e SLA de atualização</t>
        </is>
      </c>
      <c r="D49" s="6" t="inlineStr">
        <is>
          <t>Luiza</t>
        </is>
      </c>
      <c r="E49" s="6" t="inlineStr">
        <is>
          <t>P0</t>
        </is>
      </c>
      <c r="F49" s="6" t="n">
        <v>5</v>
      </c>
      <c r="G49" s="8" t="n">
        <v>46346</v>
      </c>
      <c r="H49" s="6" t="inlineStr">
        <is>
          <t>T2.14</t>
        </is>
      </c>
      <c r="I49" s="6" t="inlineStr">
        <is>
          <t>Não iniciado</t>
        </is>
      </c>
      <c r="J49" s="7" t="inlineStr"/>
      <c r="K49" s="8" t="inlineStr"/>
      <c r="L49" s="7" t="inlineStr">
        <is>
          <t>MKT</t>
        </is>
      </c>
    </row>
    <row r="50">
      <c r="A50" s="6" t="inlineStr">
        <is>
          <t>T4.8</t>
        </is>
      </c>
      <c r="B50" s="6" t="inlineStr">
        <is>
          <t>F4</t>
        </is>
      </c>
      <c r="C50" s="7" t="inlineStr">
        <is>
          <t>Publicar os guias, o FAQ e os canais de atendimento</t>
        </is>
      </c>
      <c r="D50" s="6" t="inlineStr">
        <is>
          <t>Luiza</t>
        </is>
      </c>
      <c r="E50" s="6" t="inlineStr">
        <is>
          <t>P0</t>
        </is>
      </c>
      <c r="F50" s="6" t="n">
        <v>4</v>
      </c>
      <c r="G50" s="8" t="n">
        <v>46360</v>
      </c>
      <c r="H50" s="6" t="inlineStr">
        <is>
          <t>T3.11,T3.17</t>
        </is>
      </c>
      <c r="I50" s="6" t="inlineStr">
        <is>
          <t>Não iniciado</t>
        </is>
      </c>
      <c r="J50" s="7" t="inlineStr"/>
      <c r="K50" s="8" t="inlineStr"/>
      <c r="L50" s="7" t="inlineStr">
        <is>
          <t>CS, MKT</t>
        </is>
      </c>
    </row>
    <row r="51">
      <c r="A51" s="6" t="inlineStr">
        <is>
          <t>T4.9</t>
        </is>
      </c>
      <c r="B51" s="6" t="inlineStr">
        <is>
          <t>F4</t>
        </is>
      </c>
      <c r="C51" s="7" t="inlineStr">
        <is>
          <t>Rodar o onboarding e certificar o representante do piloto</t>
        </is>
      </c>
      <c r="D51" s="6" t="inlineStr">
        <is>
          <t>Luiza</t>
        </is>
      </c>
      <c r="E51" s="6" t="inlineStr">
        <is>
          <t>P0</t>
        </is>
      </c>
      <c r="F51" s="6" t="n">
        <v>8</v>
      </c>
      <c r="G51" s="8" t="n">
        <v>46367</v>
      </c>
      <c r="H51" s="6" t="inlineStr">
        <is>
          <t>T3.10,T4.3</t>
        </is>
      </c>
      <c r="I51" s="6" t="inlineStr">
        <is>
          <t>Não iniciado</t>
        </is>
      </c>
      <c r="J51" s="7" t="inlineStr"/>
      <c r="K51" s="8" t="inlineStr"/>
      <c r="L51" s="7" t="inlineStr">
        <is>
          <t>—</t>
        </is>
      </c>
    </row>
    <row r="52">
      <c r="A52" s="6" t="inlineStr">
        <is>
          <t>T4.10</t>
        </is>
      </c>
      <c r="B52" s="6" t="inlineStr">
        <is>
          <t>F4</t>
        </is>
      </c>
      <c r="C52" s="7" t="inlineStr">
        <is>
          <t>Passar a carteira: lojas cadastradas, operadores e acessos na mão do representante</t>
        </is>
      </c>
      <c r="D52" s="6" t="inlineStr">
        <is>
          <t>Luiza</t>
        </is>
      </c>
      <c r="E52" s="6" t="inlineStr">
        <is>
          <t>P0</t>
        </is>
      </c>
      <c r="F52" s="6" t="n">
        <v>4</v>
      </c>
      <c r="G52" s="8" t="n">
        <v>46353</v>
      </c>
      <c r="H52" s="6" t="inlineStr">
        <is>
          <t>T3.15,T4.1</t>
        </is>
      </c>
      <c r="I52" s="6" t="inlineStr">
        <is>
          <t>Não iniciado</t>
        </is>
      </c>
      <c r="J52" s="7" t="inlineStr"/>
      <c r="K52" s="8" t="inlineStr"/>
      <c r="L52" s="7" t="inlineStr">
        <is>
          <t>Comercial</t>
        </is>
      </c>
    </row>
    <row r="53">
      <c r="A53" s="6" t="inlineStr">
        <is>
          <t>T4.11</t>
        </is>
      </c>
      <c r="B53" s="6" t="inlineStr">
        <is>
          <t>F4</t>
        </is>
      </c>
      <c r="C53" s="7" t="inlineStr">
        <is>
          <t>Rodar o checklist de go/no-go do piloto</t>
        </is>
      </c>
      <c r="D53" s="6" t="inlineStr">
        <is>
          <t>Luiza</t>
        </is>
      </c>
      <c r="E53" s="6" t="inlineStr">
        <is>
          <t>P0</t>
        </is>
      </c>
      <c r="F53" s="6" t="n">
        <v>2</v>
      </c>
      <c r="G53" s="8" t="n">
        <v>46374</v>
      </c>
      <c r="H53" s="6" t="inlineStr">
        <is>
          <t>T4.4,T4.6,T4.8,T4.9,T4.10</t>
        </is>
      </c>
      <c r="I53" s="6" t="inlineStr">
        <is>
          <t>Não iniciado</t>
        </is>
      </c>
      <c r="J53" s="7" t="inlineStr"/>
      <c r="K53" s="8" t="inlineStr"/>
      <c r="L53" s="7" t="inlineStr">
        <is>
          <t>—</t>
        </is>
      </c>
    </row>
    <row r="54">
      <c r="A54" s="6" t="inlineStr">
        <is>
          <t>T5.1</t>
        </is>
      </c>
      <c r="B54" s="6" t="inlineStr">
        <is>
          <t>F5</t>
        </is>
      </c>
      <c r="C54" s="7" t="inlineStr">
        <is>
          <t>Go-live e operação assistida, com diário de bordo semanal</t>
        </is>
      </c>
      <c r="D54" s="6" t="inlineStr">
        <is>
          <t>Luiza</t>
        </is>
      </c>
      <c r="E54" s="6" t="inlineStr">
        <is>
          <t>P0</t>
        </is>
      </c>
      <c r="F54" s="6" t="n">
        <v>36</v>
      </c>
      <c r="G54" s="8" t="n">
        <v>46472</v>
      </c>
      <c r="H54" s="6" t="inlineStr">
        <is>
          <t>T4.11</t>
        </is>
      </c>
      <c r="I54" s="6" t="inlineStr">
        <is>
          <t>Não iniciado</t>
        </is>
      </c>
      <c r="J54" s="7" t="inlineStr"/>
      <c r="K54" s="8" t="inlineStr"/>
      <c r="L54" s="7" t="inlineStr">
        <is>
          <t>—</t>
        </is>
      </c>
    </row>
    <row r="55">
      <c r="A55" s="6" t="inlineStr">
        <is>
          <t>T5.2</t>
        </is>
      </c>
      <c r="B55" s="6" t="inlineStr">
        <is>
          <t>F5</t>
        </is>
      </c>
      <c r="C55" s="7" t="inlineStr">
        <is>
          <t>Apuração mensal da remuneração (fev, mar e abr)</t>
        </is>
      </c>
      <c r="D55" s="6" t="inlineStr">
        <is>
          <t>Luana</t>
        </is>
      </c>
      <c r="E55" s="6" t="inlineStr">
        <is>
          <t>P0</t>
        </is>
      </c>
      <c r="F55" s="6" t="n">
        <v>12</v>
      </c>
      <c r="G55" s="8" t="n">
        <v>46486</v>
      </c>
      <c r="H55" s="6" t="inlineStr">
        <is>
          <t>T4.4</t>
        </is>
      </c>
      <c r="I55" s="6" t="inlineStr">
        <is>
          <t>Não iniciado</t>
        </is>
      </c>
      <c r="J55" s="7" t="inlineStr"/>
      <c r="K55" s="8" t="inlineStr"/>
      <c r="L55" s="7" t="inlineStr">
        <is>
          <t>Financeiro</t>
        </is>
      </c>
    </row>
    <row r="56">
      <c r="A56" s="6" t="inlineStr">
        <is>
          <t>T5.3</t>
        </is>
      </c>
      <c r="B56" s="6" t="inlineStr">
        <is>
          <t>F5</t>
        </is>
      </c>
      <c r="C56" s="7" t="inlineStr">
        <is>
          <t>Medir as hipóteses: tempo liberado do time interno, originação incremental e qualidade da carteira</t>
        </is>
      </c>
      <c r="D56" s="6" t="inlineStr">
        <is>
          <t>Luana</t>
        </is>
      </c>
      <c r="E56" s="6" t="inlineStr">
        <is>
          <t>P0</t>
        </is>
      </c>
      <c r="F56" s="6" t="n">
        <v>8</v>
      </c>
      <c r="G56" s="8" t="n">
        <v>46486</v>
      </c>
      <c r="H56" s="6" t="inlineStr">
        <is>
          <t>T1.7</t>
        </is>
      </c>
      <c r="I56" s="6" t="inlineStr">
        <is>
          <t>Não iniciado</t>
        </is>
      </c>
      <c r="J56" s="7" t="inlineStr"/>
      <c r="K56" s="8" t="inlineStr"/>
      <c r="L56" s="7" t="inlineStr">
        <is>
          <t>Dados</t>
        </is>
      </c>
    </row>
    <row r="57">
      <c r="A57" s="6" t="inlineStr">
        <is>
          <t>T5.4</t>
        </is>
      </c>
      <c r="B57" s="6" t="inlineStr">
        <is>
          <t>F5</t>
        </is>
      </c>
      <c r="C57" s="7" t="inlineStr">
        <is>
          <t>Retrospectiva por ciclo e ajuste do playbook</t>
        </is>
      </c>
      <c r="D57" s="6" t="inlineStr">
        <is>
          <t>Luiza</t>
        </is>
      </c>
      <c r="E57" s="6" t="inlineStr">
        <is>
          <t>P1</t>
        </is>
      </c>
      <c r="F57" s="6" t="n">
        <v>9</v>
      </c>
      <c r="G57" s="8" t="n">
        <v>46479</v>
      </c>
      <c r="H57" s="6" t="inlineStr">
        <is>
          <t>T5.1</t>
        </is>
      </c>
      <c r="I57" s="6" t="inlineStr">
        <is>
          <t>Não iniciado</t>
        </is>
      </c>
      <c r="J57" s="7" t="inlineStr"/>
      <c r="K57" s="8" t="inlineStr"/>
      <c r="L57" s="7" t="inlineStr">
        <is>
          <t>—</t>
        </is>
      </c>
    </row>
    <row r="58">
      <c r="A58" s="6" t="inlineStr">
        <is>
          <t>T5.5</t>
        </is>
      </c>
      <c r="B58" s="6" t="inlineStr">
        <is>
          <t>F5</t>
        </is>
      </c>
      <c r="C58" s="7" t="inlineStr">
        <is>
          <t>Refresh de treinamento a cada atualização operacional, do representante ao varejo</t>
        </is>
      </c>
      <c r="D58" s="6" t="inlineStr">
        <is>
          <t>Luiza</t>
        </is>
      </c>
      <c r="E58" s="6" t="inlineStr">
        <is>
          <t>P1</t>
        </is>
      </c>
      <c r="F58" s="6" t="n">
        <v>6</v>
      </c>
      <c r="G58" s="8" t="n">
        <v>46486</v>
      </c>
      <c r="H58" s="6" t="inlineStr">
        <is>
          <t>T4.9</t>
        </is>
      </c>
      <c r="I58" s="6" t="inlineStr">
        <is>
          <t>Não iniciado</t>
        </is>
      </c>
      <c r="J58" s="7" t="inlineStr"/>
      <c r="K58" s="8" t="inlineStr"/>
      <c r="L58" s="7" t="inlineStr">
        <is>
          <t>—</t>
        </is>
      </c>
    </row>
    <row r="59">
      <c r="A59" s="6" t="inlineStr">
        <is>
          <t>T5.6</t>
        </is>
      </c>
      <c r="B59" s="6" t="inlineStr">
        <is>
          <t>F5</t>
        </is>
      </c>
      <c r="C59" s="7" t="inlineStr">
        <is>
          <t>Escrever a recomendação de escalar, ajustar ou encerrar e levar ao Lucas</t>
        </is>
      </c>
      <c r="D59" s="6" t="inlineStr">
        <is>
          <t>Luana</t>
        </is>
      </c>
      <c r="E59" s="6" t="inlineStr">
        <is>
          <t>P0</t>
        </is>
      </c>
      <c r="F59" s="6" t="n">
        <v>6</v>
      </c>
      <c r="G59" s="8" t="n">
        <v>46493</v>
      </c>
      <c r="H59" s="6" t="inlineStr">
        <is>
          <t>T5.2,T5.3,T5.4</t>
        </is>
      </c>
      <c r="I59" s="6" t="inlineStr">
        <is>
          <t>Não iniciado</t>
        </is>
      </c>
      <c r="J59" s="7" t="inlineStr"/>
      <c r="K59" s="8" t="inlineStr"/>
      <c r="L59" s="7" t="inlineStr">
        <is>
          <t>Liderança</t>
        </is>
      </c>
    </row>
  </sheetData>
  <autoFilter ref="A1:L59"/>
  <conditionalFormatting sqref="A2:L59">
    <cfRule type="expression" priority="1" dxfId="0" stopIfTrue="0">
      <formula>$I2="Não iniciado"</formula>
    </cfRule>
    <cfRule type="expression" priority="2" dxfId="1" stopIfTrue="0">
      <formula>$I2="Em andamento"</formula>
    </cfRule>
    <cfRule type="expression" priority="3" dxfId="2" stopIfTrue="0">
      <formula>$I2="Bloqueado"</formula>
    </cfRule>
    <cfRule type="expression" priority="4" dxfId="3" stopIfTrue="0">
      <formula>$I2="Em revisão"</formula>
    </cfRule>
    <cfRule type="expression" priority="5" dxfId="4" stopIfTrue="0">
      <formula>$I2="Concluído"</formula>
    </cfRule>
  </conditionalFormatting>
  <conditionalFormatting sqref="G2:G59">
    <cfRule type="expression" priority="6" dxfId="5" stopIfTrue="0">
      <formula>AND($G2&lt;TODAY(),$I2&lt;&gt;"Concluído")</formula>
    </cfRule>
  </conditionalFormatting>
  <dataValidations count="3">
    <dataValidation sqref="I2:I59" showDropDown="0" showInputMessage="0" showErrorMessage="0" allowBlank="0" type="list">
      <formula1>"Não iniciado,Em andamento,Bloqueado,Em revisão,Concluído"</formula1>
    </dataValidation>
    <dataValidation sqref="E2:E59" showDropDown="0" showInputMessage="0" showErrorMessage="0" allowBlank="0" type="list">
      <formula1>"P0,P1,P2"</formula1>
    </dataValidation>
    <dataValidation sqref="D2:D59" showDropDown="0" showInputMessage="0" showErrorMessage="0" allowBlank="0" type="list">
      <formula1>"Luana,Luiza"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9" customWidth="1" min="4" max="4"/>
    <col width="12" customWidth="1" min="5" max="5"/>
    <col width="12" customWidth="1" min="6" max="6"/>
    <col width="52" customWidth="1" min="7" max="7"/>
    <col width="46" customWidth="1" min="8" max="8"/>
    <col width="60" customWidth="1" min="9" max="9"/>
    <col width="12" customWidth="1" min="10" max="10"/>
  </cols>
  <sheetData>
    <row r="1">
      <c r="A1" s="9" t="inlineStr">
        <is>
          <t>Fases do projeto — uma fase, um dono</t>
        </is>
      </c>
    </row>
    <row r="3" ht="30" customHeight="1">
      <c r="A3" s="5" t="inlineStr">
        <is>
          <t>Fase</t>
        </is>
      </c>
      <c r="B3" s="5" t="inlineStr">
        <is>
          <t>Nome</t>
        </is>
      </c>
      <c r="C3" s="5" t="inlineStr">
        <is>
          <t>Dono</t>
        </is>
      </c>
      <c r="D3" s="5" t="inlineStr">
        <is>
          <t>Apoio</t>
        </is>
      </c>
      <c r="E3" s="5" t="inlineStr">
        <is>
          <t>Início</t>
        </is>
      </c>
      <c r="F3" s="5" t="inlineStr">
        <is>
          <t>Fim</t>
        </is>
      </c>
      <c r="G3" s="5" t="inlineStr">
        <is>
          <t>Objetivo</t>
        </is>
      </c>
      <c r="H3" s="5" t="inlineStr">
        <is>
          <t>Entregável concreto</t>
        </is>
      </c>
      <c r="I3" s="5" t="inlineStr">
        <is>
          <t>Critério de saída</t>
        </is>
      </c>
      <c r="J3" s="5" t="inlineStr">
        <is>
          <t>Depende de</t>
        </is>
      </c>
    </row>
    <row r="4" ht="72" customHeight="1">
      <c r="A4" s="6" t="inlineStr">
        <is>
          <t>F1</t>
        </is>
      </c>
      <c r="B4" s="7" t="inlineStr">
        <is>
          <t>Enquadramento</t>
        </is>
      </c>
      <c r="C4" s="6" t="inlineStr">
        <is>
          <t>Luana</t>
        </is>
      </c>
      <c r="D4" s="6" t="inlineStr">
        <is>
          <t>Luiza</t>
        </is>
      </c>
      <c r="E4" s="8" t="n">
        <v>46260</v>
      </c>
      <c r="F4" s="8" t="n">
        <v>46269</v>
      </c>
      <c r="G4" s="7" t="inlineStr">
        <is>
          <t>Fechar escopo, métricas e cadência antes de aprofundar qualquer coisa.</t>
        </is>
      </c>
      <c r="H4" s="7" t="inlineStr">
        <is>
          <t>One-pager de escopo + régua de segmentação + tracker no ar</t>
        </is>
      </c>
      <c r="I4" s="7" t="inlineStr">
        <is>
          <t>Escopo escrito e aprovado pelo Lucas; 4 métricas com baseline; tracker populado e cadência na agenda.</t>
        </is>
      </c>
      <c r="J4" s="6" t="inlineStr">
        <is>
          <t>—</t>
        </is>
      </c>
    </row>
    <row r="5" ht="72" customHeight="1">
      <c r="A5" s="6" t="inlineStr">
        <is>
          <t>F2</t>
        </is>
      </c>
      <c r="B5" s="7" t="inlineStr">
        <is>
          <t>Descoberta e escolha do modelo</t>
        </is>
      </c>
      <c r="C5" s="6" t="inlineStr">
        <is>
          <t>Luana</t>
        </is>
      </c>
      <c r="D5" s="6" t="inlineStr">
        <is>
          <t>Luiza</t>
        </is>
      </c>
      <c r="E5" s="8" t="n">
        <v>46273</v>
      </c>
      <c r="F5" s="8" t="n">
        <v>46297</v>
      </c>
      <c r="G5" s="7" t="inlineStr">
        <is>
          <t>Saber o que o mercado faz e o que o jurídico proíbe, e escolher UM modelo — sem ainda desenhar remuneração.</t>
        </is>
      </c>
      <c r="H5" s="7" t="inlineStr">
        <is>
          <t>Comparativo de modelos com recomendação + direcional jurídico mínimo + baseline de CAC</t>
        </is>
      </c>
      <c r="I5" s="7" t="inlineStr">
        <is>
          <t>Um modelo escolhido e defendido ao Lucas, com os red flags jurídicos conhecidos e o inventário da operação levantado.</t>
        </is>
      </c>
      <c r="J5" s="6" t="inlineStr">
        <is>
          <t>F1</t>
        </is>
      </c>
    </row>
    <row r="6" ht="72" customHeight="1">
      <c r="A6" s="6" t="inlineStr">
        <is>
          <t>F3</t>
        </is>
      </c>
      <c r="B6" s="7" t="inlineStr">
        <is>
          <t>Desenho do modelo</t>
        </is>
      </c>
      <c r="C6" s="6" t="inlineStr">
        <is>
          <t>Luana</t>
        </is>
      </c>
      <c r="D6" s="6" t="inlineStr">
        <is>
          <t>Luiza</t>
        </is>
      </c>
      <c r="E6" s="8" t="n">
        <v>46296</v>
      </c>
      <c r="F6" s="8" t="n">
        <v>46339</v>
      </c>
      <c r="G6" s="7" t="inlineStr">
        <is>
          <t>Transformar o modelo escolhido em remuneração, business case, contrato e playbook.</t>
        </is>
      </c>
      <c r="H6" s="7" t="inlineStr">
        <is>
          <t>Cenário de remuneração escolhido + business case + minuta de contrato + guias e specs de dash</t>
        </is>
      </c>
      <c r="I6" s="7" t="inlineStr">
        <is>
          <t>Remuneração escolhida entre 3 cenários, business case aprovado pelo Financeiro, parecer do Thiago e minuta de contrato pronta.</t>
        </is>
      </c>
      <c r="J6" s="6" t="inlineStr">
        <is>
          <t>F2</t>
        </is>
      </c>
    </row>
    <row r="7" ht="72" customHeight="1">
      <c r="A7" s="6" t="inlineStr">
        <is>
          <t>F4</t>
        </is>
      </c>
      <c r="B7" s="7" t="inlineStr">
        <is>
          <t>Prontidão operacional</t>
        </is>
      </c>
      <c r="C7" s="6" t="inlineStr">
        <is>
          <t>Luiza</t>
        </is>
      </c>
      <c r="D7" s="6" t="inlineStr">
        <is>
          <t>Luana</t>
        </is>
      </c>
      <c r="E7" s="8" t="n">
        <v>46342</v>
      </c>
      <c r="F7" s="8" t="n">
        <v>46374</v>
      </c>
      <c r="G7" s="7" t="inlineStr">
        <is>
          <t>Contratar o parceiro e deixar a operação pronta para ir a campo.</t>
        </is>
      </c>
      <c r="H7" s="7" t="inlineStr">
        <is>
          <t>Contrato assinado, dashboards no ar, guias publicados e representante certificado</t>
        </is>
      </c>
      <c r="I7" s="7" t="inlineStr">
        <is>
          <t>Checklist de go/no-go assinado: contrato válido, ciclo de pagamento testado, dash no ar, carteira transferida.</t>
        </is>
      </c>
      <c r="J7" s="6" t="inlineStr">
        <is>
          <t>F3</t>
        </is>
      </c>
    </row>
    <row r="8" ht="72" customHeight="1">
      <c r="A8" s="6" t="inlineStr">
        <is>
          <t>F5</t>
        </is>
      </c>
      <c r="B8" s="7" t="inlineStr">
        <is>
          <t>Piloto assistido e decisão</t>
        </is>
      </c>
      <c r="C8" s="6" t="inlineStr">
        <is>
          <t>Luiza</t>
        </is>
      </c>
      <c r="D8" s="6" t="inlineStr">
        <is>
          <t>Luana</t>
        </is>
      </c>
      <c r="E8" s="8" t="n">
        <v>46398</v>
      </c>
      <c r="F8" s="8" t="n">
        <v>46493</v>
      </c>
      <c r="G8" s="7" t="inlineStr">
        <is>
          <t>Rodar a carteira-piloto, apurar três ciclos e decidir escalar, ajustar ou encerrar.</t>
        </is>
      </c>
      <c r="H8" s="7" t="inlineStr">
        <is>
          <t>Piloto em campo + 3 apurações + recomendação formal ao Lucas</t>
        </is>
      </c>
      <c r="I8" s="7" t="inlineStr">
        <is>
          <t>Recomendação entregue com leitura das hipóteses e do business case real contra o modelado.</t>
        </is>
      </c>
      <c r="J8" s="6" t="inlineStr">
        <is>
          <t>F4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8" customWidth="1" min="1" max="1"/>
    <col width="3" customWidth="1" min="2" max="2"/>
    <col width="78" customWidth="1" min="3" max="3"/>
  </cols>
  <sheetData>
    <row r="1">
      <c r="A1" s="9" t="inlineStr">
        <is>
          <t>Escopo fechado</t>
        </is>
      </c>
    </row>
    <row r="3">
      <c r="A3" s="10" t="inlineStr">
        <is>
          <t>DENTRO do escopo</t>
        </is>
      </c>
      <c r="C3" s="11" t="inlineStr">
        <is>
          <t>FORA do escopo — não faremos agora</t>
        </is>
      </c>
    </row>
    <row r="4">
      <c r="A4" s="12" t="inlineStr">
        <is>
          <t>• Desenhar e escolher o modelo de terceirização da operação do long tail regional</t>
        </is>
      </c>
      <c r="C4" s="12" t="inlineStr">
        <is>
          <t>• Terceirizar varejo corporate — segue com o time interno da UME</t>
        </is>
      </c>
    </row>
    <row r="5">
      <c r="A5" s="12" t="inlineStr">
        <is>
          <t>• Validar juridicamente o modelo e o formato de remuneração</t>
        </is>
      </c>
      <c r="C5" s="12" t="inlineStr">
        <is>
          <t>• Prospecção e venda de novos varejos pelo representante (decisão Q1; fora do piloto de qualquer forma)</t>
        </is>
      </c>
    </row>
    <row r="6">
      <c r="A6" s="12" t="inlineStr">
        <is>
          <t>• Definir a remuneração, as regras de apuração e o business case</t>
        </is>
      </c>
      <c r="C6" s="12" t="inlineStr">
        <is>
          <t>• Rebate e MDR para o representante — só existe se a Q1 virar sim</t>
        </is>
      </c>
    </row>
    <row r="7">
      <c r="A7" s="12" t="inlineStr">
        <is>
          <t>• Redigir a minuta de contrato e a matriz de alçadas do representante</t>
        </is>
      </c>
      <c r="C7" s="12" t="inlineStr">
        <is>
          <t>• Automatizar o cadastro de lojas e operadores — fica com o time da Amanda e vira backlog de Tech</t>
        </is>
      </c>
    </row>
    <row r="8">
      <c r="A8" s="12" t="inlineStr">
        <is>
          <t>• Montar o onboarding do representante e o do varejo, tocado por ele</t>
        </is>
      </c>
      <c r="C8" s="12" t="inlineStr">
        <is>
          <t>• Modelo de franquia e licenciamento de marca — descartado em 26/ago</t>
        </is>
      </c>
    </row>
    <row r="9">
      <c r="A9" s="12" t="inlineStr">
        <is>
          <t>• Especificar e publicar o dash de operação e o dash financeiro com export CSV</t>
        </is>
      </c>
      <c r="C9" s="12" t="inlineStr">
        <is>
          <t>• Criar um time interno de N2 dedicado ao canal terceirizado</t>
        </is>
      </c>
    </row>
    <row r="10">
      <c r="A10" s="12" t="inlineStr">
        <is>
          <t>• Publicar repositório de trade, brand book, FAQ e canais de atendimento</t>
        </is>
      </c>
      <c r="C10" s="12" t="inlineStr">
        <is>
          <t>• Mudar política de crédito, alçadas de aprovação ou qualquer coisa em produção</t>
        </is>
      </c>
    </row>
    <row r="11">
      <c r="A11" s="12" t="inlineStr">
        <is>
          <t>• Selecionar e contratar UM parceiro para o piloto</t>
        </is>
      </c>
      <c r="C11" s="12" t="inlineStr">
        <is>
          <t>• Onda 2 de representantes e expansão nacional — só depois do Gate 5</t>
        </is>
      </c>
    </row>
    <row r="12">
      <c r="A12" s="12" t="inlineStr">
        <is>
          <t>• Rodar o piloto por 3 ciclos de apuração e recomendar escalar, ajustar ou encerrar</t>
        </is>
      </c>
      <c r="C12" s="12" t="inlineStr">
        <is>
          <t>• Uniforme ou identidade visual obrigatória para o representante — vira recomendação, por risco de vínculo</t>
        </is>
      </c>
    </row>
    <row r="15">
      <c r="A15" s="13" t="inlineStr">
        <is>
          <t>Definição de pronto — o projeto acabou quando:</t>
        </is>
      </c>
    </row>
    <row r="16">
      <c r="A16" s="14" t="inlineStr">
        <is>
          <t>• existe um representante terceirizado rodando uma carteira long tail com contrato assinado;</t>
        </is>
      </c>
    </row>
    <row r="17">
      <c r="A17" s="14" t="inlineStr">
        <is>
          <t>• a remuneração foi apurada e paga por 3 ciclos, com o business case real medido contra o modelado;</t>
        </is>
      </c>
    </row>
    <row r="18">
      <c r="A18" s="14" t="inlineStr">
        <is>
          <t>• o playbook (onboarding, guias, dashboards, FAQ) está publicado e foi usado por alguém de fora da UME;</t>
        </is>
      </c>
    </row>
    <row r="19">
      <c r="A19" s="14" t="inlineStr">
        <is>
          <t>• o time interno consegue mostrar, com número, quantas horas por semana deixou de gastar com esses varejos;</t>
        </is>
      </c>
    </row>
    <row r="20">
      <c r="A20" s="14" t="inlineStr">
        <is>
          <t>• a recomendação de escalar, ajustar ou encerrar foi entregue ao Lucas e decidida.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40" customWidth="1" min="3" max="3"/>
    <col width="40" customWidth="1" min="4" max="4"/>
    <col width="9" customWidth="1" min="5" max="5"/>
    <col width="26" customWidth="1" min="6" max="6"/>
    <col width="13" customWidth="1" min="7" max="7"/>
    <col width="15" customWidth="1" min="8" max="8"/>
  </cols>
  <sheetData>
    <row r="1">
      <c r="A1" s="9" t="inlineStr">
        <is>
          <t>Métricas de sucesso</t>
        </is>
      </c>
    </row>
    <row r="3" ht="30" customHeight="1">
      <c r="A3" s="5" t="inlineStr">
        <is>
          <t>ID</t>
        </is>
      </c>
      <c r="B3" s="5" t="inlineStr">
        <is>
          <t>Métrica de sucesso</t>
        </is>
      </c>
      <c r="C3" s="5" t="inlineStr">
        <is>
          <t>Baseline hoje</t>
        </is>
      </c>
      <c r="D3" s="5" t="inlineStr">
        <is>
          <t>Meta</t>
        </is>
      </c>
      <c r="E3" s="5" t="inlineStr">
        <is>
          <t>Dono</t>
        </is>
      </c>
      <c r="F3" s="5" t="inlineStr">
        <is>
          <t>Onde se mede</t>
        </is>
      </c>
      <c r="G3" s="5" t="inlineStr">
        <is>
          <t>Valor atual</t>
        </is>
      </c>
      <c r="H3" s="5" t="inlineStr">
        <is>
          <t>Atualizado em</t>
        </is>
      </c>
    </row>
    <row r="4" ht="44" customHeight="1">
      <c r="A4" s="6" t="inlineStr">
        <is>
          <t>M1</t>
        </is>
      </c>
      <c r="B4" s="7" t="inlineStr">
        <is>
          <t>Horas/semana do time interno gastas com varejo long tail</t>
        </is>
      </c>
      <c r="C4" s="7" t="inlineStr">
        <is>
          <t>A medir na F1 (amostra de 2 semanas)</t>
        </is>
      </c>
      <c r="D4" s="7" t="inlineStr">
        <is>
          <t>-60% até o fim do piloto</t>
        </is>
      </c>
      <c r="E4" s="6" t="inlineStr">
        <is>
          <t>Luana</t>
        </is>
      </c>
      <c r="F4" s="7" t="inlineStr">
        <is>
          <t>Apontamento das duas + agenda</t>
        </is>
      </c>
      <c r="G4" s="6" t="inlineStr"/>
      <c r="H4" s="8" t="inlineStr"/>
    </row>
    <row r="5" ht="44" customHeight="1">
      <c r="A5" s="6" t="inlineStr">
        <is>
          <t>M2</t>
        </is>
      </c>
      <c r="B5" s="7" t="inlineStr">
        <is>
          <t>Varejos ativos sob carteira terceirizada</t>
        </is>
      </c>
      <c r="C5" s="7" t="inlineStr">
        <is>
          <t>0</t>
        </is>
      </c>
      <c r="D5" s="7" t="inlineStr">
        <is>
          <t>10 a 15 lojas no piloto</t>
        </is>
      </c>
      <c r="E5" s="6" t="inlineStr">
        <is>
          <t>Luiza</t>
        </is>
      </c>
      <c r="F5" s="7" t="inlineStr">
        <is>
          <t>Dash de operação</t>
        </is>
      </c>
      <c r="G5" s="6" t="inlineStr"/>
      <c r="H5" s="8" t="inlineStr"/>
    </row>
    <row r="6" ht="44" customHeight="1">
      <c r="A6" s="6" t="inlineStr">
        <is>
          <t>M3</t>
        </is>
      </c>
      <c r="B6" s="7" t="inlineStr">
        <is>
          <t>CAC do canal terceirizado (R$ por novo cliente)</t>
        </is>
      </c>
      <c r="C6" s="7" t="inlineStr">
        <is>
          <t>R$ 14 (referência da central de vendas)</t>
        </is>
      </c>
      <c r="D6" s="7" t="inlineStr">
        <is>
          <t>Menor ou igual a R$ 14, com teto de 2% sobre originação</t>
        </is>
      </c>
      <c r="E6" s="6" t="inlineStr">
        <is>
          <t>Luana</t>
        </is>
      </c>
      <c r="F6" s="7" t="inlineStr">
        <is>
          <t>Apuração mensal</t>
        </is>
      </c>
      <c r="G6" s="6" t="inlineStr"/>
      <c r="H6" s="8" t="inlineStr"/>
    </row>
    <row r="7" ht="44" customHeight="1">
      <c r="A7" s="6" t="inlineStr">
        <is>
          <t>M4</t>
        </is>
      </c>
      <c r="B7" s="7" t="inlineStr">
        <is>
          <t>FPD e inadimplência da carteira terceirizada</t>
        </is>
      </c>
      <c r="C7" s="7" t="inlineStr">
        <is>
          <t>A medir (média UME por região)</t>
        </is>
      </c>
      <c r="D7" s="7" t="inlineStr">
        <is>
          <t>Até 1 p.p. acima da média UME</t>
        </is>
      </c>
      <c r="E7" s="6" t="inlineStr">
        <is>
          <t>Luana</t>
        </is>
      </c>
      <c r="F7" s="7" t="inlineStr">
        <is>
          <t>Risco / BigQuery</t>
        </is>
      </c>
      <c r="G7" s="6" t="inlineStr"/>
      <c r="H7" s="8" t="inlineStr"/>
    </row>
    <row r="8" ht="44" customHeight="1">
      <c r="A8" s="6" t="inlineStr">
        <is>
          <t>M5</t>
        </is>
      </c>
      <c r="B8" s="7" t="inlineStr">
        <is>
          <t>Originação da carteira-piloto contra o mesmo período do ano anterior</t>
        </is>
      </c>
      <c r="C8" s="7" t="inlineStr">
        <is>
          <t>A medir na F4</t>
        </is>
      </c>
      <c r="D8" s="7" t="inlineStr">
        <is>
          <t>+15% no 3º ciclo</t>
        </is>
      </c>
      <c r="E8" s="6" t="inlineStr">
        <is>
          <t>Luiza</t>
        </is>
      </c>
      <c r="F8" s="7" t="inlineStr">
        <is>
          <t>Dash financeiro</t>
        </is>
      </c>
      <c r="G8" s="6" t="inlineStr"/>
      <c r="H8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54" customWidth="1" min="2" max="2"/>
    <col width="14" customWidth="1" min="3" max="3"/>
    <col width="10" customWidth="1" min="4" max="4"/>
    <col width="50" customWidth="1" min="5" max="5"/>
    <col width="58" customWidth="1" min="6" max="6"/>
    <col width="13" customWidth="1" min="7" max="7"/>
    <col width="14" customWidth="1" min="8" max="8"/>
  </cols>
  <sheetData>
    <row r="1">
      <c r="A1" s="9" t="inlineStr">
        <is>
          <t>Top 5 riscos</t>
        </is>
      </c>
    </row>
    <row r="3" ht="30" customHeight="1">
      <c r="A3" s="5" t="inlineStr">
        <is>
          <t>ID</t>
        </is>
      </c>
      <c r="B3" s="5" t="inlineStr">
        <is>
          <t>Risco</t>
        </is>
      </c>
      <c r="C3" s="5" t="inlineStr">
        <is>
          <t>Probabilidade</t>
        </is>
      </c>
      <c r="D3" s="5" t="inlineStr">
        <is>
          <t>Impacto</t>
        </is>
      </c>
      <c r="E3" s="5" t="inlineStr">
        <is>
          <t>Sinal de alerta antecipado</t>
        </is>
      </c>
      <c r="F3" s="5" t="inlineStr">
        <is>
          <t>Mitigação</t>
        </is>
      </c>
      <c r="G3" s="5" t="inlineStr">
        <is>
          <t>Dono do risco</t>
        </is>
      </c>
      <c r="H3" s="5" t="inlineStr">
        <is>
          <t>Status</t>
        </is>
      </c>
    </row>
    <row r="4" ht="64" customHeight="1">
      <c r="A4" s="6" t="inlineStr">
        <is>
          <t>R1</t>
        </is>
      </c>
      <c r="B4" s="7" t="inlineStr">
        <is>
          <t>Remuneração mal calibrada: pagar sobre originação total estoura o CAC e o modelo deixa de se pagar</t>
        </is>
      </c>
      <c r="C4" s="6" t="inlineStr">
        <is>
          <t>Alta</t>
        </is>
      </c>
      <c r="D4" s="6" t="inlineStr">
        <is>
          <t>Alto</t>
        </is>
      </c>
      <c r="E4" s="7" t="inlineStr">
        <is>
          <t>No 1º cenário modelado, o custo por novo cliente passa de R$ 14 sem contrapartida de volume</t>
        </is>
      </c>
      <c r="F4" s="7" t="inlineStr">
        <is>
          <t>Ancorar em CAC/novos clientes com guardrails de FPD e MOIC, teto por carteira e cláusula de revisão a cada 6 meses</t>
        </is>
      </c>
      <c r="G4" s="6" t="inlineStr">
        <is>
          <t>Luana</t>
        </is>
      </c>
      <c r="H4" s="6" t="inlineStr">
        <is>
          <t>Vigiando</t>
        </is>
      </c>
    </row>
    <row r="5" ht="64" customHeight="1">
      <c r="A5" s="6" t="inlineStr">
        <is>
          <t>R2</t>
        </is>
      </c>
      <c r="B5" s="7" t="inlineStr">
        <is>
          <t>Uma restrição jurídica invalida o modelo depois de desenhado</t>
        </is>
      </c>
      <c r="C5" s="6" t="inlineStr">
        <is>
          <t>Média</t>
        </is>
      </c>
      <c r="D5" s="6" t="inlineStr">
        <is>
          <t>Alto</t>
        </is>
      </c>
      <c r="E5" s="7" t="inlineStr">
        <is>
          <t>O direcional do Thiago (T2.3) vem com 'depende' em vez de 'pode/não pode'</t>
        </is>
      </c>
      <c r="F5" s="7" t="inlineStr">
        <is>
          <t>Direcional mínimo na F2, antes de modelar remuneração; três cenários levados ao parecer em vez de um</t>
        </is>
      </c>
      <c r="G5" s="6" t="inlineStr">
        <is>
          <t>Luana</t>
        </is>
      </c>
      <c r="H5" s="6" t="inlineStr">
        <is>
          <t>Vigiando</t>
        </is>
      </c>
    </row>
    <row r="6" ht="64" customHeight="1">
      <c r="A6" s="6" t="inlineStr">
        <is>
          <t>R3</t>
        </is>
      </c>
      <c r="B6" s="7" t="inlineStr">
        <is>
          <t>Escopo infla: querer resolver engajamento, prospecção de varejo e comercial no mesmo pacote</t>
        </is>
      </c>
      <c r="C6" s="6" t="inlineStr">
        <is>
          <t>Alta</t>
        </is>
      </c>
      <c r="D6" s="6" t="inlineStr">
        <is>
          <t>Alto</t>
        </is>
      </c>
      <c r="E6" s="7" t="inlineStr">
        <is>
          <t>Aparece tarefa de rebate ou MDR no tracker sem decisão do Gate 2</t>
        </is>
      </c>
      <c r="F6" s="7" t="inlineStr">
        <is>
          <t>Lista de fora de escopo assinada na F1; prospecção só entra se a Q1 for decidida como sim, e mesmo assim fora do piloto</t>
        </is>
      </c>
      <c r="G6" s="6" t="inlineStr">
        <is>
          <t>Luana</t>
        </is>
      </c>
      <c r="H6" s="6" t="inlineStr">
        <is>
          <t>Vigiando</t>
        </is>
      </c>
    </row>
    <row r="7" ht="64" customHeight="1">
      <c r="A7" s="6" t="inlineStr">
        <is>
          <t>R4</t>
        </is>
      </c>
      <c r="B7" s="7" t="inlineStr">
        <is>
          <t>As 8h/semana não se sustentam quando a operação do dia a dia aperta</t>
        </is>
      </c>
      <c r="C7" s="6" t="inlineStr">
        <is>
          <t>Alta</t>
        </is>
      </c>
      <c r="D7" s="6" t="inlineStr">
        <is>
          <t>Alto</t>
        </is>
      </c>
      <c r="E7" s="7" t="inlineStr">
        <is>
          <t>Duas semanas seguidas com menos de 5h apontadas, ou touchpoint desmarcado 2x</t>
        </is>
      </c>
      <c r="F7" s="7" t="inlineStr">
        <is>
          <t>Bloco de sexta protegido na agenda; se a semana cair abaixo de 5h, corta-se P2 antes de empurrar P0; capacidade revista no status quinzenal</t>
        </is>
      </c>
      <c r="G7" s="6" t="inlineStr">
        <is>
          <t>Luiza</t>
        </is>
      </c>
      <c r="H7" s="6" t="inlineStr">
        <is>
          <t>Vigiando</t>
        </is>
      </c>
    </row>
    <row r="8" ht="64" customHeight="1">
      <c r="A8" s="6" t="inlineStr">
        <is>
          <t>R5</t>
        </is>
      </c>
      <c r="B8" s="7" t="inlineStr">
        <is>
          <t>Cadastro e acessos presos no time da Amanda viram o gargalo da operação terceirizada</t>
        </is>
      </c>
      <c r="C8" s="6" t="inlineStr">
        <is>
          <t>Média</t>
        </is>
      </c>
      <c r="D8" s="6" t="inlineStr">
        <is>
          <t>Médio</t>
        </is>
      </c>
      <c r="E8" s="7" t="inlineStr">
        <is>
          <t>Qualquer pedido de acesso do piloto levando mais de 48h</t>
        </is>
      </c>
      <c r="F8" s="7" t="inlineStr">
        <is>
          <t>SLA escrito na T3.15, com fila visível; automação vira backlog priorizado de Tech antes da onda 2</t>
        </is>
      </c>
      <c r="G8" s="6" t="inlineStr">
        <is>
          <t>Luiza</t>
        </is>
      </c>
      <c r="H8" s="6" t="inlineStr">
        <is>
          <t>Vigiando</t>
        </is>
      </c>
    </row>
  </sheetData>
  <conditionalFormatting sqref="C4:D8">
    <cfRule type="cellIs" priority="1" operator="equal" dxfId="2">
      <formula>"Alta"</formula>
    </cfRule>
  </conditionalFormatting>
  <conditionalFormatting sqref="D4:D8">
    <cfRule type="cellIs" priority="2" operator="equal" dxfId="2">
      <formula>"Alto"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9" t="inlineStr">
        <is>
          <t>Realidade da capacidade — 8h/semana por pessoa, já descontado feriado</t>
        </is>
      </c>
    </row>
    <row r="3" ht="30" customHeight="1">
      <c r="A3" s="5" t="inlineStr">
        <is>
          <t>Semana (segunda)</t>
        </is>
      </c>
      <c r="B3" s="5" t="inlineStr">
        <is>
          <t>Capacidade (h)</t>
        </is>
      </c>
      <c r="C3" s="5" t="inlineStr">
        <is>
          <t>Luana (h)</t>
        </is>
      </c>
      <c r="D3" s="5" t="inlineStr">
        <is>
          <t>Luiza (h)</t>
        </is>
      </c>
      <c r="E3" s="5" t="inlineStr">
        <is>
          <t>Folga Luana</t>
        </is>
      </c>
      <c r="F3" s="5" t="inlineStr">
        <is>
          <t>Folga Luiza</t>
        </is>
      </c>
    </row>
    <row r="4">
      <c r="A4" s="8" t="n">
        <v>46258</v>
      </c>
      <c r="B4" s="6" t="n">
        <v>5</v>
      </c>
      <c r="C4" s="6" t="n">
        <v>5</v>
      </c>
      <c r="D4" s="6" t="n">
        <v>5</v>
      </c>
      <c r="E4" s="6" t="n">
        <v>0</v>
      </c>
      <c r="F4" s="6" t="n">
        <v>0</v>
      </c>
    </row>
    <row r="5">
      <c r="A5" s="8" t="n">
        <v>46265</v>
      </c>
      <c r="B5" s="6" t="n">
        <v>8</v>
      </c>
      <c r="C5" s="6" t="n">
        <v>7</v>
      </c>
      <c r="D5" s="6" t="n">
        <v>4</v>
      </c>
      <c r="E5" s="6" t="n">
        <v>1</v>
      </c>
      <c r="F5" s="6" t="n">
        <v>4</v>
      </c>
    </row>
    <row r="6">
      <c r="A6" s="8" t="n">
        <v>46272</v>
      </c>
      <c r="B6" s="6" t="n">
        <v>6.4</v>
      </c>
      <c r="C6" s="6" t="n">
        <v>6.4</v>
      </c>
      <c r="D6" s="6" t="n">
        <v>6.4</v>
      </c>
      <c r="E6" s="6" t="n">
        <v>0</v>
      </c>
      <c r="F6" s="6" t="n">
        <v>0</v>
      </c>
    </row>
    <row r="7">
      <c r="A7" s="8" t="n">
        <v>46279</v>
      </c>
      <c r="B7" s="6" t="n">
        <v>8</v>
      </c>
      <c r="C7" s="6" t="n">
        <v>8</v>
      </c>
      <c r="D7" s="6" t="n">
        <v>8</v>
      </c>
      <c r="E7" s="6" t="n">
        <v>0</v>
      </c>
      <c r="F7" s="6" t="n">
        <v>0</v>
      </c>
    </row>
    <row r="8">
      <c r="A8" s="8" t="n">
        <v>46286</v>
      </c>
      <c r="B8" s="6" t="n">
        <v>8</v>
      </c>
      <c r="C8" s="6" t="n">
        <v>8</v>
      </c>
      <c r="D8" s="6" t="n">
        <v>6.6</v>
      </c>
      <c r="E8" s="6" t="n">
        <v>0</v>
      </c>
      <c r="F8" s="6" t="n">
        <v>1.4</v>
      </c>
    </row>
    <row r="9">
      <c r="A9" s="8" t="n">
        <v>46293</v>
      </c>
      <c r="B9" s="6" t="n">
        <v>8</v>
      </c>
      <c r="C9" s="6" t="n">
        <v>8</v>
      </c>
      <c r="D9" s="6" t="n">
        <v>8</v>
      </c>
      <c r="E9" s="6" t="n">
        <v>0</v>
      </c>
      <c r="F9" s="6" t="n">
        <v>0</v>
      </c>
    </row>
    <row r="10">
      <c r="A10" s="8" t="n">
        <v>46300</v>
      </c>
      <c r="B10" s="6" t="n">
        <v>8</v>
      </c>
      <c r="C10" s="6" t="n">
        <v>8</v>
      </c>
      <c r="D10" s="6" t="n">
        <v>8</v>
      </c>
      <c r="E10" s="6" t="n">
        <v>0</v>
      </c>
      <c r="F10" s="6" t="n">
        <v>0</v>
      </c>
    </row>
    <row r="11">
      <c r="A11" s="8" t="n">
        <v>46307</v>
      </c>
      <c r="B11" s="6" t="n">
        <v>6.4</v>
      </c>
      <c r="C11" s="6" t="n">
        <v>6.4</v>
      </c>
      <c r="D11" s="6" t="n">
        <v>6.4</v>
      </c>
      <c r="E11" s="6" t="n">
        <v>0</v>
      </c>
      <c r="F11" s="6" t="n">
        <v>0</v>
      </c>
    </row>
    <row r="12">
      <c r="A12" s="8" t="n">
        <v>46314</v>
      </c>
      <c r="B12" s="6" t="n">
        <v>8</v>
      </c>
      <c r="C12" s="6" t="n">
        <v>8</v>
      </c>
      <c r="D12" s="6" t="n">
        <v>8</v>
      </c>
      <c r="E12" s="6" t="n">
        <v>0</v>
      </c>
      <c r="F12" s="6" t="n">
        <v>0</v>
      </c>
    </row>
    <row r="13">
      <c r="A13" s="8" t="n">
        <v>46321</v>
      </c>
      <c r="B13" s="6" t="n">
        <v>8</v>
      </c>
      <c r="C13" s="6" t="n">
        <v>8</v>
      </c>
      <c r="D13" s="6" t="n">
        <v>8</v>
      </c>
      <c r="E13" s="6" t="n">
        <v>0</v>
      </c>
      <c r="F13" s="6" t="n">
        <v>0</v>
      </c>
    </row>
    <row r="14">
      <c r="A14" s="8" t="n">
        <v>46328</v>
      </c>
      <c r="B14" s="6" t="n">
        <v>6.4</v>
      </c>
      <c r="C14" s="6" t="n">
        <v>6.2</v>
      </c>
      <c r="D14" s="6" t="n">
        <v>6.4</v>
      </c>
      <c r="E14" s="6" t="n">
        <v>0.2</v>
      </c>
      <c r="F14" s="6" t="n">
        <v>0</v>
      </c>
    </row>
    <row r="15">
      <c r="A15" s="8" t="n">
        <v>46335</v>
      </c>
      <c r="B15" s="6" t="n">
        <v>8</v>
      </c>
      <c r="C15" s="6" t="n">
        <v>0</v>
      </c>
      <c r="D15" s="6" t="n">
        <v>5.2</v>
      </c>
      <c r="E15" s="6" t="n">
        <v>8</v>
      </c>
      <c r="F15" s="6" t="n">
        <v>2.8</v>
      </c>
    </row>
    <row r="16">
      <c r="A16" s="8" t="n">
        <v>46342</v>
      </c>
      <c r="B16" s="6" t="n">
        <v>6.4</v>
      </c>
      <c r="C16" s="6" t="n">
        <v>6.4</v>
      </c>
      <c r="D16" s="6" t="n">
        <v>6.4</v>
      </c>
      <c r="E16" s="6" t="n">
        <v>0</v>
      </c>
      <c r="F16" s="6" t="n">
        <v>0</v>
      </c>
    </row>
    <row r="17">
      <c r="A17" s="8" t="n">
        <v>46349</v>
      </c>
      <c r="B17" s="6" t="n">
        <v>8</v>
      </c>
      <c r="C17" s="6" t="n">
        <v>8</v>
      </c>
      <c r="D17" s="6" t="n">
        <v>8</v>
      </c>
      <c r="E17" s="6" t="n">
        <v>0</v>
      </c>
      <c r="F17" s="6" t="n">
        <v>0</v>
      </c>
    </row>
    <row r="18">
      <c r="A18" s="8" t="n">
        <v>46356</v>
      </c>
      <c r="B18" s="6" t="n">
        <v>8</v>
      </c>
      <c r="C18" s="6" t="n">
        <v>8</v>
      </c>
      <c r="D18" s="6" t="n">
        <v>6.6</v>
      </c>
      <c r="E18" s="6" t="n">
        <v>0</v>
      </c>
      <c r="F18" s="6" t="n">
        <v>1.4</v>
      </c>
    </row>
    <row r="19">
      <c r="A19" s="8" t="n">
        <v>46363</v>
      </c>
      <c r="B19" s="6" t="n">
        <v>8</v>
      </c>
      <c r="C19" s="6" t="n">
        <v>3.6</v>
      </c>
      <c r="D19" s="6" t="n">
        <v>8</v>
      </c>
      <c r="E19" s="6" t="n">
        <v>4.4</v>
      </c>
      <c r="F19" s="6" t="n">
        <v>0</v>
      </c>
    </row>
    <row r="20">
      <c r="A20" s="8" t="n">
        <v>46370</v>
      </c>
      <c r="B20" s="6" t="n">
        <v>8</v>
      </c>
      <c r="C20" s="6" t="n">
        <v>0</v>
      </c>
      <c r="D20" s="6" t="n">
        <v>2</v>
      </c>
      <c r="E20" s="6" t="n">
        <v>8</v>
      </c>
      <c r="F20" s="6" t="n">
        <v>6</v>
      </c>
    </row>
    <row r="21">
      <c r="A21" s="8" t="n">
        <v>46440</v>
      </c>
      <c r="B21" s="6" t="n">
        <v>8</v>
      </c>
      <c r="C21" s="6" t="n">
        <v>0</v>
      </c>
      <c r="D21" s="6" t="n">
        <v>8</v>
      </c>
      <c r="E21" s="6" t="n">
        <v>8</v>
      </c>
      <c r="F21" s="6" t="n">
        <v>0</v>
      </c>
    </row>
    <row r="22">
      <c r="A22" s="8" t="n">
        <v>46447</v>
      </c>
      <c r="B22" s="6" t="n">
        <v>8</v>
      </c>
      <c r="C22" s="6" t="n">
        <v>0</v>
      </c>
      <c r="D22" s="6" t="n">
        <v>8</v>
      </c>
      <c r="E22" s="6" t="n">
        <v>8</v>
      </c>
      <c r="F22" s="6" t="n">
        <v>0</v>
      </c>
    </row>
    <row r="23">
      <c r="A23" s="8" t="n">
        <v>46454</v>
      </c>
      <c r="B23" s="6" t="n">
        <v>8</v>
      </c>
      <c r="C23" s="6" t="n">
        <v>0</v>
      </c>
      <c r="D23" s="6" t="n">
        <v>8</v>
      </c>
      <c r="E23" s="6" t="n">
        <v>8</v>
      </c>
      <c r="F23" s="6" t="n">
        <v>0</v>
      </c>
    </row>
    <row r="24">
      <c r="A24" s="8" t="n">
        <v>46461</v>
      </c>
      <c r="B24" s="6" t="n">
        <v>8</v>
      </c>
      <c r="C24" s="6" t="n">
        <v>0</v>
      </c>
      <c r="D24" s="6" t="n">
        <v>8</v>
      </c>
      <c r="E24" s="6" t="n">
        <v>8</v>
      </c>
      <c r="F24" s="6" t="n">
        <v>0</v>
      </c>
    </row>
    <row r="25">
      <c r="A25" s="8" t="n">
        <v>46468</v>
      </c>
      <c r="B25" s="6" t="n">
        <v>6.4</v>
      </c>
      <c r="C25" s="6" t="n">
        <v>6.4</v>
      </c>
      <c r="D25" s="6" t="n">
        <v>6.4</v>
      </c>
      <c r="E25" s="6" t="n">
        <v>0</v>
      </c>
      <c r="F25" s="6" t="n">
        <v>0</v>
      </c>
    </row>
    <row r="26">
      <c r="A26" s="8" t="n">
        <v>46475</v>
      </c>
      <c r="B26" s="6" t="n">
        <v>8</v>
      </c>
      <c r="C26" s="6" t="n">
        <v>8</v>
      </c>
      <c r="D26" s="6" t="n">
        <v>8</v>
      </c>
      <c r="E26" s="6" t="n">
        <v>0</v>
      </c>
      <c r="F26" s="6" t="n">
        <v>0</v>
      </c>
    </row>
    <row r="27">
      <c r="A27" s="8" t="n">
        <v>46482</v>
      </c>
      <c r="B27" s="6" t="n">
        <v>8</v>
      </c>
      <c r="C27" s="6" t="n">
        <v>8</v>
      </c>
      <c r="D27" s="6" t="n">
        <v>4.6</v>
      </c>
      <c r="E27" s="6" t="n">
        <v>0</v>
      </c>
      <c r="F27" s="6" t="n">
        <v>3.4</v>
      </c>
    </row>
    <row r="28">
      <c r="A28" s="8" t="n">
        <v>46489</v>
      </c>
      <c r="B28" s="6" t="n">
        <v>8</v>
      </c>
      <c r="C28" s="6" t="n">
        <v>3.6</v>
      </c>
      <c r="D28" s="6" t="n">
        <v>0</v>
      </c>
      <c r="E28" s="6" t="n">
        <v>4.4</v>
      </c>
      <c r="F28" s="6" t="n">
        <v>8</v>
      </c>
    </row>
  </sheetData>
  <conditionalFormatting sqref="E4:F28">
    <cfRule type="cellIs" priority="1" operator="lessThanOrEqual" dxfId="2">
      <formula>0</formula>
    </cfRule>
    <cfRule type="cellIs" priority="2" operator="greaterThan" dxfId="4">
      <formula>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9" customWidth="1" min="4" max="4"/>
    <col width="11" customWidth="1" min="5" max="5"/>
    <col width="12" customWidth="1" min="6" max="6"/>
    <col width="12" customWidth="1" min="7" max="7"/>
    <col width="16" customWidth="1" min="8" max="8"/>
    <col width="15" customWidth="1" min="9" max="9"/>
    <col width="34" customWidth="1" min="10" max="10"/>
  </cols>
  <sheetData>
    <row r="1" ht="30" customHeight="1">
      <c r="A1" s="5" t="inlineStr">
        <is>
          <t>ID</t>
        </is>
      </c>
      <c r="B1" s="5" t="inlineStr">
        <is>
          <t>Fase</t>
        </is>
      </c>
      <c r="C1" s="5" t="inlineStr">
        <is>
          <t>Tarefa</t>
        </is>
      </c>
      <c r="D1" s="5" t="inlineStr">
        <is>
          <t>Dono</t>
        </is>
      </c>
      <c r="E1" s="5" t="inlineStr">
        <is>
          <t>Prioridade</t>
        </is>
      </c>
      <c r="F1" s="5" t="inlineStr">
        <is>
          <t>Esforço (h)</t>
        </is>
      </c>
      <c r="G1" s="5" t="inlineStr">
        <is>
          <t>Data alvo</t>
        </is>
      </c>
      <c r="H1" s="5" t="inlineStr">
        <is>
          <t>Dependência</t>
        </is>
      </c>
      <c r="I1" s="5" t="inlineStr">
        <is>
          <t>Status</t>
        </is>
      </c>
      <c r="J1" s="5" t="inlineStr">
        <is>
          <t>Bloqueio — motivo</t>
        </is>
      </c>
    </row>
    <row r="2">
      <c r="A2" s="15">
        <f>SORT(FILTER(Tarefas!A4:J61, Tarefas!G4:G61&lt;=TODAY()+7, Tarefas!I4:I61&lt;&gt;"Concluído"), 7, TRUE)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9" customWidth="1" min="4" max="4"/>
    <col width="11" customWidth="1" min="5" max="5"/>
    <col width="12" customWidth="1" min="6" max="6"/>
    <col width="12" customWidth="1" min="7" max="7"/>
    <col width="16" customWidth="1" min="8" max="8"/>
    <col width="15" customWidth="1" min="9" max="9"/>
    <col width="34" customWidth="1" min="10" max="10"/>
  </cols>
  <sheetData>
    <row r="1" ht="30" customHeight="1">
      <c r="A1" s="5" t="inlineStr">
        <is>
          <t>ID</t>
        </is>
      </c>
      <c r="B1" s="5" t="inlineStr">
        <is>
          <t>Fase</t>
        </is>
      </c>
      <c r="C1" s="5" t="inlineStr">
        <is>
          <t>Tarefa</t>
        </is>
      </c>
      <c r="D1" s="5" t="inlineStr">
        <is>
          <t>Dono</t>
        </is>
      </c>
      <c r="E1" s="5" t="inlineStr">
        <is>
          <t>Prioridade</t>
        </is>
      </c>
      <c r="F1" s="5" t="inlineStr">
        <is>
          <t>Esforço (h)</t>
        </is>
      </c>
      <c r="G1" s="5" t="inlineStr">
        <is>
          <t>Data alvo</t>
        </is>
      </c>
      <c r="H1" s="5" t="inlineStr">
        <is>
          <t>Dependência</t>
        </is>
      </c>
      <c r="I1" s="5" t="inlineStr">
        <is>
          <t>Status</t>
        </is>
      </c>
      <c r="J1" s="5" t="inlineStr">
        <is>
          <t>Bloqueio — motivo</t>
        </is>
      </c>
    </row>
    <row r="2">
      <c r="A2" s="15">
        <f>FILTER(Tarefas!A4:J61, Tarefas!I4:I61="Bloqueado")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9" customWidth="1" min="4" max="4"/>
    <col width="11" customWidth="1" min="5" max="5"/>
    <col width="12" customWidth="1" min="6" max="6"/>
    <col width="12" customWidth="1" min="7" max="7"/>
    <col width="16" customWidth="1" min="8" max="8"/>
    <col width="15" customWidth="1" min="9" max="9"/>
    <col width="34" customWidth="1" min="10" max="10"/>
  </cols>
  <sheetData>
    <row r="1" ht="30" customHeight="1">
      <c r="A1" s="5" t="inlineStr">
        <is>
          <t>ID</t>
        </is>
      </c>
      <c r="B1" s="5" t="inlineStr">
        <is>
          <t>Fase</t>
        </is>
      </c>
      <c r="C1" s="5" t="inlineStr">
        <is>
          <t>Tarefa</t>
        </is>
      </c>
      <c r="D1" s="5" t="inlineStr">
        <is>
          <t>Dono</t>
        </is>
      </c>
      <c r="E1" s="5" t="inlineStr">
        <is>
          <t>Prioridade</t>
        </is>
      </c>
      <c r="F1" s="5" t="inlineStr">
        <is>
          <t>Esforço (h)</t>
        </is>
      </c>
      <c r="G1" s="5" t="inlineStr">
        <is>
          <t>Data alvo</t>
        </is>
      </c>
      <c r="H1" s="5" t="inlineStr">
        <is>
          <t>Dependência</t>
        </is>
      </c>
      <c r="I1" s="5" t="inlineStr">
        <is>
          <t>Status</t>
        </is>
      </c>
      <c r="J1" s="5" t="inlineStr">
        <is>
          <t>Bloqueio — motivo</t>
        </is>
      </c>
    </row>
    <row r="2">
      <c r="A2" s="15">
        <f>SORT(FILTER(Tarefas!A4:J61, Tarefas!D4:D61="Luana", Tarefas!I4:I61&lt;&gt;"Concluído"), 7, TRUE)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9" customWidth="1" min="4" max="4"/>
    <col width="11" customWidth="1" min="5" max="5"/>
    <col width="12" customWidth="1" min="6" max="6"/>
    <col width="12" customWidth="1" min="7" max="7"/>
    <col width="16" customWidth="1" min="8" max="8"/>
    <col width="15" customWidth="1" min="9" max="9"/>
    <col width="34" customWidth="1" min="10" max="10"/>
  </cols>
  <sheetData>
    <row r="1" ht="30" customHeight="1">
      <c r="A1" s="5" t="inlineStr">
        <is>
          <t>ID</t>
        </is>
      </c>
      <c r="B1" s="5" t="inlineStr">
        <is>
          <t>Fase</t>
        </is>
      </c>
      <c r="C1" s="5" t="inlineStr">
        <is>
          <t>Tarefa</t>
        </is>
      </c>
      <c r="D1" s="5" t="inlineStr">
        <is>
          <t>Dono</t>
        </is>
      </c>
      <c r="E1" s="5" t="inlineStr">
        <is>
          <t>Prioridade</t>
        </is>
      </c>
      <c r="F1" s="5" t="inlineStr">
        <is>
          <t>Esforço (h)</t>
        </is>
      </c>
      <c r="G1" s="5" t="inlineStr">
        <is>
          <t>Data alvo</t>
        </is>
      </c>
      <c r="H1" s="5" t="inlineStr">
        <is>
          <t>Dependência</t>
        </is>
      </c>
      <c r="I1" s="5" t="inlineStr">
        <is>
          <t>Status</t>
        </is>
      </c>
      <c r="J1" s="5" t="inlineStr">
        <is>
          <t>Bloqueio — motivo</t>
        </is>
      </c>
    </row>
    <row r="2">
      <c r="A2" s="15">
        <f>SORT(FILTER(Tarefas!A4:J61, Tarefas!D4:D61="Luiza", Tarefas!I4:I61&lt;&gt;"Concluído"), 7, TRUE)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Linhas prontas para colar no Importar do Painel de Demandas</t>
        </is>
      </c>
    </row>
    <row r="2">
      <c r="A2" s="15" t="inlineStr">
        <is>
          <t>Formato do painel: cluster | conta | responsável | AAAA-MM-DD | descrição. Copie só as linhas da quinzena.</t>
        </is>
      </c>
    </row>
    <row r="4">
      <c r="A4" s="16" t="inlineStr">
        <is>
          <t>Linha</t>
        </is>
      </c>
    </row>
    <row r="5">
      <c r="A5">
        <f>"novos | Terceirização | "&amp;Tarefas!D4&amp;" | "&amp;TEXT(Tarefas!G4,"yyyy-mm-dd")&amp;" | ["&amp;Tarefas!A4&amp;"] "&amp;Tarefas!C4</f>
        <v/>
      </c>
    </row>
    <row r="6">
      <c r="A6">
        <f>"novos | Terceirização | "&amp;Tarefas!D5&amp;" | "&amp;TEXT(Tarefas!G5,"yyyy-mm-dd")&amp;" | ["&amp;Tarefas!A5&amp;"] "&amp;Tarefas!C5</f>
        <v/>
      </c>
    </row>
    <row r="7">
      <c r="A7">
        <f>"novos | Terceirização | "&amp;Tarefas!D6&amp;" | "&amp;TEXT(Tarefas!G6,"yyyy-mm-dd")&amp;" | ["&amp;Tarefas!A6&amp;"] "&amp;Tarefas!C6</f>
        <v/>
      </c>
    </row>
    <row r="8">
      <c r="A8">
        <f>"novos | Terceirização | "&amp;Tarefas!D7&amp;" | "&amp;TEXT(Tarefas!G7,"yyyy-mm-dd")&amp;" | ["&amp;Tarefas!A7&amp;"] "&amp;Tarefas!C7</f>
        <v/>
      </c>
    </row>
    <row r="9">
      <c r="A9">
        <f>"novos | Terceirização | "&amp;Tarefas!D8&amp;" | "&amp;TEXT(Tarefas!G8,"yyyy-mm-dd")&amp;" | ["&amp;Tarefas!A8&amp;"] "&amp;Tarefas!C8</f>
        <v/>
      </c>
    </row>
    <row r="10">
      <c r="A10">
        <f>"novos | Terceirização | "&amp;Tarefas!D9&amp;" | "&amp;TEXT(Tarefas!G9,"yyyy-mm-dd")&amp;" | ["&amp;Tarefas!A9&amp;"] "&amp;Tarefas!C9</f>
        <v/>
      </c>
    </row>
    <row r="11">
      <c r="A11">
        <f>"novos | Terceirização | "&amp;Tarefas!D10&amp;" | "&amp;TEXT(Tarefas!G10,"yyyy-mm-dd")&amp;" | ["&amp;Tarefas!A10&amp;"] "&amp;Tarefas!C10</f>
        <v/>
      </c>
    </row>
    <row r="12">
      <c r="A12">
        <f>"novos | Terceirização | "&amp;Tarefas!D11&amp;" | "&amp;TEXT(Tarefas!G11,"yyyy-mm-dd")&amp;" | ["&amp;Tarefas!A11&amp;"] "&amp;Tarefas!C11</f>
        <v/>
      </c>
    </row>
    <row r="13">
      <c r="A13">
        <f>"novos | Terceirização | "&amp;Tarefas!D12&amp;" | "&amp;TEXT(Tarefas!G12,"yyyy-mm-dd")&amp;" | ["&amp;Tarefas!A12&amp;"] "&amp;Tarefas!C12</f>
        <v/>
      </c>
    </row>
    <row r="14">
      <c r="A14">
        <f>"novos | Terceirização | "&amp;Tarefas!D13&amp;" | "&amp;TEXT(Tarefas!G13,"yyyy-mm-dd")&amp;" | ["&amp;Tarefas!A13&amp;"] "&amp;Tarefas!C13</f>
        <v/>
      </c>
    </row>
    <row r="15">
      <c r="A15">
        <f>"novos | Terceirização | "&amp;Tarefas!D14&amp;" | "&amp;TEXT(Tarefas!G14,"yyyy-mm-dd")&amp;" | ["&amp;Tarefas!A14&amp;"] "&amp;Tarefas!C14</f>
        <v/>
      </c>
    </row>
    <row r="16">
      <c r="A16">
        <f>"novos | Terceirização | "&amp;Tarefas!D15&amp;" | "&amp;TEXT(Tarefas!G15,"yyyy-mm-dd")&amp;" | ["&amp;Tarefas!A15&amp;"] "&amp;Tarefas!C15</f>
        <v/>
      </c>
    </row>
    <row r="17">
      <c r="A17">
        <f>"novos | Terceirização | "&amp;Tarefas!D16&amp;" | "&amp;TEXT(Tarefas!G16,"yyyy-mm-dd")&amp;" | ["&amp;Tarefas!A16&amp;"] "&amp;Tarefas!C16</f>
        <v/>
      </c>
    </row>
    <row r="18">
      <c r="A18">
        <f>"novos | Terceirização | "&amp;Tarefas!D17&amp;" | "&amp;TEXT(Tarefas!G17,"yyyy-mm-dd")&amp;" | ["&amp;Tarefas!A17&amp;"] "&amp;Tarefas!C17</f>
        <v/>
      </c>
    </row>
    <row r="19">
      <c r="A19">
        <f>"novos | Terceirização | "&amp;Tarefas!D18&amp;" | "&amp;TEXT(Tarefas!G18,"yyyy-mm-dd")&amp;" | ["&amp;Tarefas!A18&amp;"] "&amp;Tarefas!C18</f>
        <v/>
      </c>
    </row>
    <row r="20">
      <c r="A20">
        <f>"novos | Terceirização | "&amp;Tarefas!D19&amp;" | "&amp;TEXT(Tarefas!G19,"yyyy-mm-dd")&amp;" | ["&amp;Tarefas!A19&amp;"] "&amp;Tarefas!C19</f>
        <v/>
      </c>
    </row>
    <row r="21">
      <c r="A21">
        <f>"novos | Terceirização | "&amp;Tarefas!D20&amp;" | "&amp;TEXT(Tarefas!G20,"yyyy-mm-dd")&amp;" | ["&amp;Tarefas!A20&amp;"] "&amp;Tarefas!C20</f>
        <v/>
      </c>
    </row>
    <row r="22">
      <c r="A22">
        <f>"novos | Terceirização | "&amp;Tarefas!D21&amp;" | "&amp;TEXT(Tarefas!G21,"yyyy-mm-dd")&amp;" | ["&amp;Tarefas!A21&amp;"] "&amp;Tarefas!C21</f>
        <v/>
      </c>
    </row>
    <row r="23">
      <c r="A23">
        <f>"novos | Terceirização | "&amp;Tarefas!D22&amp;" | "&amp;TEXT(Tarefas!G22,"yyyy-mm-dd")&amp;" | ["&amp;Tarefas!A22&amp;"] "&amp;Tarefas!C22</f>
        <v/>
      </c>
    </row>
    <row r="24">
      <c r="A24">
        <f>"novos | Terceirização | "&amp;Tarefas!D23&amp;" | "&amp;TEXT(Tarefas!G23,"yyyy-mm-dd")&amp;" | ["&amp;Tarefas!A23&amp;"] "&amp;Tarefas!C23</f>
        <v/>
      </c>
    </row>
    <row r="25">
      <c r="A25">
        <f>"novos | Terceirização | "&amp;Tarefas!D24&amp;" | "&amp;TEXT(Tarefas!G24,"yyyy-mm-dd")&amp;" | ["&amp;Tarefas!A24&amp;"] "&amp;Tarefas!C24</f>
        <v/>
      </c>
    </row>
    <row r="26">
      <c r="A26">
        <f>"novos | Terceirização | "&amp;Tarefas!D25&amp;" | "&amp;TEXT(Tarefas!G25,"yyyy-mm-dd")&amp;" | ["&amp;Tarefas!A25&amp;"] "&amp;Tarefas!C25</f>
        <v/>
      </c>
    </row>
    <row r="27">
      <c r="A27">
        <f>"novos | Terceirização | "&amp;Tarefas!D26&amp;" | "&amp;TEXT(Tarefas!G26,"yyyy-mm-dd")&amp;" | ["&amp;Tarefas!A26&amp;"] "&amp;Tarefas!C26</f>
        <v/>
      </c>
    </row>
    <row r="28">
      <c r="A28">
        <f>"novos | Terceirização | "&amp;Tarefas!D27&amp;" | "&amp;TEXT(Tarefas!G27,"yyyy-mm-dd")&amp;" | ["&amp;Tarefas!A27&amp;"] "&amp;Tarefas!C27</f>
        <v/>
      </c>
    </row>
    <row r="29">
      <c r="A29">
        <f>"novos | Terceirização | "&amp;Tarefas!D28&amp;" | "&amp;TEXT(Tarefas!G28,"yyyy-mm-dd")&amp;" | ["&amp;Tarefas!A28&amp;"] "&amp;Tarefas!C28</f>
        <v/>
      </c>
    </row>
    <row r="30">
      <c r="A30">
        <f>"novos | Terceirização | "&amp;Tarefas!D29&amp;" | "&amp;TEXT(Tarefas!G29,"yyyy-mm-dd")&amp;" | ["&amp;Tarefas!A29&amp;"] "&amp;Tarefas!C29</f>
        <v/>
      </c>
    </row>
    <row r="31">
      <c r="A31">
        <f>"novos | Terceirização | "&amp;Tarefas!D30&amp;" | "&amp;TEXT(Tarefas!G30,"yyyy-mm-dd")&amp;" | ["&amp;Tarefas!A30&amp;"] "&amp;Tarefas!C30</f>
        <v/>
      </c>
    </row>
    <row r="32">
      <c r="A32">
        <f>"novos | Terceirização | "&amp;Tarefas!D31&amp;" | "&amp;TEXT(Tarefas!G31,"yyyy-mm-dd")&amp;" | ["&amp;Tarefas!A31&amp;"] "&amp;Tarefas!C31</f>
        <v/>
      </c>
    </row>
    <row r="33">
      <c r="A33">
        <f>"novos | Terceirização | "&amp;Tarefas!D32&amp;" | "&amp;TEXT(Tarefas!G32,"yyyy-mm-dd")&amp;" | ["&amp;Tarefas!A32&amp;"] "&amp;Tarefas!C32</f>
        <v/>
      </c>
    </row>
    <row r="34">
      <c r="A34">
        <f>"novos | Terceirização | "&amp;Tarefas!D33&amp;" | "&amp;TEXT(Tarefas!G33,"yyyy-mm-dd")&amp;" | ["&amp;Tarefas!A33&amp;"] "&amp;Tarefas!C33</f>
        <v/>
      </c>
    </row>
    <row r="35">
      <c r="A35">
        <f>"novos | Terceirização | "&amp;Tarefas!D34&amp;" | "&amp;TEXT(Tarefas!G34,"yyyy-mm-dd")&amp;" | ["&amp;Tarefas!A34&amp;"] "&amp;Tarefas!C34</f>
        <v/>
      </c>
    </row>
    <row r="36">
      <c r="A36">
        <f>"novos | Terceirização | "&amp;Tarefas!D35&amp;" | "&amp;TEXT(Tarefas!G35,"yyyy-mm-dd")&amp;" | ["&amp;Tarefas!A35&amp;"] "&amp;Tarefas!C35</f>
        <v/>
      </c>
    </row>
    <row r="37">
      <c r="A37">
        <f>"novos | Terceirização | "&amp;Tarefas!D36&amp;" | "&amp;TEXT(Tarefas!G36,"yyyy-mm-dd")&amp;" | ["&amp;Tarefas!A36&amp;"] "&amp;Tarefas!C36</f>
        <v/>
      </c>
    </row>
    <row r="38">
      <c r="A38">
        <f>"novos | Terceirização | "&amp;Tarefas!D37&amp;" | "&amp;TEXT(Tarefas!G37,"yyyy-mm-dd")&amp;" | ["&amp;Tarefas!A37&amp;"] "&amp;Tarefas!C37</f>
        <v/>
      </c>
    </row>
    <row r="39">
      <c r="A39">
        <f>"novos | Terceirização | "&amp;Tarefas!D38&amp;" | "&amp;TEXT(Tarefas!G38,"yyyy-mm-dd")&amp;" | ["&amp;Tarefas!A38&amp;"] "&amp;Tarefas!C38</f>
        <v/>
      </c>
    </row>
    <row r="40">
      <c r="A40">
        <f>"novos | Terceirização | "&amp;Tarefas!D39&amp;" | "&amp;TEXT(Tarefas!G39,"yyyy-mm-dd")&amp;" | ["&amp;Tarefas!A39&amp;"] "&amp;Tarefas!C39</f>
        <v/>
      </c>
    </row>
    <row r="41">
      <c r="A41">
        <f>"novos | Terceirização | "&amp;Tarefas!D40&amp;" | "&amp;TEXT(Tarefas!G40,"yyyy-mm-dd")&amp;" | ["&amp;Tarefas!A40&amp;"] "&amp;Tarefas!C40</f>
        <v/>
      </c>
    </row>
    <row r="42">
      <c r="A42">
        <f>"novos | Terceirização | "&amp;Tarefas!D41&amp;" | "&amp;TEXT(Tarefas!G41,"yyyy-mm-dd")&amp;" | ["&amp;Tarefas!A41&amp;"] "&amp;Tarefas!C41</f>
        <v/>
      </c>
    </row>
    <row r="43">
      <c r="A43">
        <f>"novos | Terceirização | "&amp;Tarefas!D42&amp;" | "&amp;TEXT(Tarefas!G42,"yyyy-mm-dd")&amp;" | ["&amp;Tarefas!A42&amp;"] "&amp;Tarefas!C42</f>
        <v/>
      </c>
    </row>
    <row r="44">
      <c r="A44">
        <f>"novos | Terceirização | "&amp;Tarefas!D43&amp;" | "&amp;TEXT(Tarefas!G43,"yyyy-mm-dd")&amp;" | ["&amp;Tarefas!A43&amp;"] "&amp;Tarefas!C43</f>
        <v/>
      </c>
    </row>
    <row r="45">
      <c r="A45">
        <f>"novos | Terceirização | "&amp;Tarefas!D44&amp;" | "&amp;TEXT(Tarefas!G44,"yyyy-mm-dd")&amp;" | ["&amp;Tarefas!A44&amp;"] "&amp;Tarefas!C44</f>
        <v/>
      </c>
    </row>
    <row r="46">
      <c r="A46">
        <f>"novos | Terceirização | "&amp;Tarefas!D45&amp;" | "&amp;TEXT(Tarefas!G45,"yyyy-mm-dd")&amp;" | ["&amp;Tarefas!A45&amp;"] "&amp;Tarefas!C45</f>
        <v/>
      </c>
    </row>
    <row r="47">
      <c r="A47">
        <f>"novos | Terceirização | "&amp;Tarefas!D46&amp;" | "&amp;TEXT(Tarefas!G46,"yyyy-mm-dd")&amp;" | ["&amp;Tarefas!A46&amp;"] "&amp;Tarefas!C46</f>
        <v/>
      </c>
    </row>
    <row r="48">
      <c r="A48">
        <f>"novos | Terceirização | "&amp;Tarefas!D47&amp;" | "&amp;TEXT(Tarefas!G47,"yyyy-mm-dd")&amp;" | ["&amp;Tarefas!A47&amp;"] "&amp;Tarefas!C47</f>
        <v/>
      </c>
    </row>
    <row r="49">
      <c r="A49">
        <f>"novos | Terceirização | "&amp;Tarefas!D48&amp;" | "&amp;TEXT(Tarefas!G48,"yyyy-mm-dd")&amp;" | ["&amp;Tarefas!A48&amp;"] "&amp;Tarefas!C48</f>
        <v/>
      </c>
    </row>
    <row r="50">
      <c r="A50">
        <f>"novos | Terceirização | "&amp;Tarefas!D49&amp;" | "&amp;TEXT(Tarefas!G49,"yyyy-mm-dd")&amp;" | ["&amp;Tarefas!A49&amp;"] "&amp;Tarefas!C49</f>
        <v/>
      </c>
    </row>
    <row r="51">
      <c r="A51">
        <f>"novos | Terceirização | "&amp;Tarefas!D50&amp;" | "&amp;TEXT(Tarefas!G50,"yyyy-mm-dd")&amp;" | ["&amp;Tarefas!A50&amp;"] "&amp;Tarefas!C50</f>
        <v/>
      </c>
    </row>
    <row r="52">
      <c r="A52">
        <f>"novos | Terceirização | "&amp;Tarefas!D51&amp;" | "&amp;TEXT(Tarefas!G51,"yyyy-mm-dd")&amp;" | ["&amp;Tarefas!A51&amp;"] "&amp;Tarefas!C51</f>
        <v/>
      </c>
    </row>
    <row r="53">
      <c r="A53">
        <f>"novos | Terceirização | "&amp;Tarefas!D52&amp;" | "&amp;TEXT(Tarefas!G52,"yyyy-mm-dd")&amp;" | ["&amp;Tarefas!A52&amp;"] "&amp;Tarefas!C52</f>
        <v/>
      </c>
    </row>
    <row r="54">
      <c r="A54">
        <f>"novos | Terceirização | "&amp;Tarefas!D53&amp;" | "&amp;TEXT(Tarefas!G53,"yyyy-mm-dd")&amp;" | ["&amp;Tarefas!A53&amp;"] "&amp;Tarefas!C53</f>
        <v/>
      </c>
    </row>
    <row r="55">
      <c r="A55">
        <f>"novos | Terceirização | "&amp;Tarefas!D54&amp;" | "&amp;TEXT(Tarefas!G54,"yyyy-mm-dd")&amp;" | ["&amp;Tarefas!A54&amp;"] "&amp;Tarefas!C54</f>
        <v/>
      </c>
    </row>
    <row r="56">
      <c r="A56">
        <f>"novos | Terceirização | "&amp;Tarefas!D55&amp;" | "&amp;TEXT(Tarefas!G55,"yyyy-mm-dd")&amp;" | ["&amp;Tarefas!A55&amp;"] "&amp;Tarefas!C55</f>
        <v/>
      </c>
    </row>
    <row r="57">
      <c r="A57">
        <f>"novos | Terceirização | "&amp;Tarefas!D56&amp;" | "&amp;TEXT(Tarefas!G56,"yyyy-mm-dd")&amp;" | ["&amp;Tarefas!A56&amp;"] "&amp;Tarefas!C56</f>
        <v/>
      </c>
    </row>
    <row r="58">
      <c r="A58">
        <f>"novos | Terceirização | "&amp;Tarefas!D57&amp;" | "&amp;TEXT(Tarefas!G57,"yyyy-mm-dd")&amp;" | ["&amp;Tarefas!A57&amp;"] "&amp;Tarefas!C57</f>
        <v/>
      </c>
    </row>
    <row r="59">
      <c r="A59">
        <f>"novos | Terceirização | "&amp;Tarefas!D58&amp;" | "&amp;TEXT(Tarefas!G58,"yyyy-mm-dd")&amp;" | ["&amp;Tarefas!A58&amp;"] "&amp;Tarefas!C58</f>
        <v/>
      </c>
    </row>
    <row r="60">
      <c r="A60">
        <f>"novos | Terceirização | "&amp;Tarefas!D59&amp;" | "&amp;TEXT(Tarefas!G59,"yyyy-mm-dd")&amp;" | ["&amp;Tarefas!A59&amp;"] "&amp;Tarefas!C59</f>
        <v/>
      </c>
    </row>
    <row r="61">
      <c r="A61">
        <f>"novos | Terceirização | "&amp;Tarefas!D60&amp;" | "&amp;TEXT(Tarefas!G60,"yyyy-mm-dd")&amp;" | ["&amp;Tarefas!A60&amp;"] "&amp;Tarefas!C60</f>
        <v/>
      </c>
    </row>
    <row r="62">
      <c r="A62">
        <f>"novos | Terceirização | "&amp;Tarefas!D61&amp;" | "&amp;TEXT(Tarefas!G61,"yyyy-mm-dd")&amp;" | ["&amp;Tarefas!A61&amp;"] "&amp;Tarefas!C61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2026-08-26T20:59:59Z</dcterms:created>
  <dcterms:modified xsi:type="dcterms:W3CDTF">2026-08-26T20:59:59Z</dcterms:modified>
</cp:coreProperties>
</file>